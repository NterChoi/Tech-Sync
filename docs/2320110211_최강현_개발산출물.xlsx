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pring\Tech-Sync\docs\"/>
    </mc:Choice>
  </mc:AlternateContent>
  <bookViews>
    <workbookView xWindow="0" yWindow="0" windowWidth="28800" windowHeight="12165" tabRatio="500" firstSheet="3" activeTab="6"/>
  </bookViews>
  <sheets>
    <sheet name="메뉴구조도" sheetId="1" r:id="rId1"/>
    <sheet name="프로그램 명세서" sheetId="2" r:id="rId2"/>
    <sheet name="컬렉션 정의서(NoSQL)" sheetId="3" r:id="rId3"/>
    <sheet name="테이블 명세서(RDBMS)" sheetId="4" r:id="rId4"/>
    <sheet name="논리 데이터 모델링(ERD)" sheetId="5" r:id="rId5"/>
    <sheet name="물리 데이터 모델링(ERD)" sheetId="6" r:id="rId6"/>
    <sheet name="WBS" sheetId="7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7" l="1"/>
  <c r="F30" i="7"/>
  <c r="F29" i="7"/>
  <c r="F25" i="7"/>
  <c r="F22" i="7"/>
  <c r="F54" i="7" l="1"/>
  <c r="F52" i="7"/>
  <c r="F51" i="7"/>
  <c r="F50" i="7"/>
  <c r="F49" i="7"/>
  <c r="F48" i="7"/>
  <c r="F47" i="7"/>
  <c r="F46" i="7"/>
  <c r="F45" i="7"/>
  <c r="C45" i="7"/>
  <c r="F44" i="7"/>
  <c r="C44" i="7"/>
  <c r="F43" i="7"/>
  <c r="C43" i="7"/>
  <c r="G42" i="7"/>
  <c r="C42" i="7" s="1"/>
  <c r="F42" i="7"/>
  <c r="F41" i="7"/>
  <c r="F40" i="7"/>
  <c r="F39" i="7"/>
  <c r="F38" i="7"/>
  <c r="F37" i="7"/>
  <c r="F36" i="7"/>
  <c r="F35" i="7"/>
  <c r="F34" i="7"/>
  <c r="F33" i="7"/>
  <c r="F32" i="7"/>
  <c r="F28" i="7"/>
  <c r="F27" i="7"/>
  <c r="F26" i="7"/>
  <c r="F24" i="7"/>
  <c r="C24" i="7"/>
  <c r="F23" i="7"/>
  <c r="C23" i="7"/>
  <c r="F21" i="7"/>
  <c r="F20" i="7"/>
  <c r="F19" i="7"/>
  <c r="C19" i="7"/>
  <c r="F18" i="7"/>
  <c r="F17" i="7"/>
  <c r="F16" i="7"/>
  <c r="F15" i="7"/>
  <c r="F14" i="7"/>
  <c r="F13" i="7"/>
  <c r="F12" i="7"/>
  <c r="F11" i="7"/>
  <c r="F10" i="7"/>
  <c r="C10" i="7"/>
  <c r="F9" i="7"/>
  <c r="C9" i="7"/>
  <c r="F8" i="7"/>
  <c r="C8" i="7"/>
  <c r="F7" i="7"/>
  <c r="C7" i="7"/>
  <c r="F6" i="7"/>
  <c r="C6" i="7"/>
  <c r="F5" i="7"/>
  <c r="C5" i="7"/>
  <c r="F4" i="7"/>
  <c r="C4" i="7"/>
  <c r="F3" i="7"/>
  <c r="C3" i="7"/>
  <c r="G2" i="7"/>
  <c r="C2" i="7" s="1"/>
  <c r="F2" i="7"/>
</calcChain>
</file>

<file path=xl/sharedStrings.xml><?xml version="1.0" encoding="utf-8"?>
<sst xmlns="http://schemas.openxmlformats.org/spreadsheetml/2006/main" count="921" uniqueCount="340">
  <si>
    <t>사용자</t>
  </si>
  <si>
    <t>구분</t>
  </si>
  <si>
    <t>1depth</t>
  </si>
  <si>
    <t>2depth</t>
  </si>
  <si>
    <t>3depth</t>
  </si>
  <si>
    <t>4depth</t>
  </si>
  <si>
    <t>5depth</t>
  </si>
  <si>
    <t>Tab/Page</t>
  </si>
  <si>
    <r>
      <rPr>
        <b/>
        <sz val="11"/>
        <rFont val="Malgun Gothic"/>
        <family val="3"/>
        <charset val="129"/>
      </rPr>
      <t>Page/</t>
    </r>
    <r>
      <rPr>
        <b/>
        <sz val="11"/>
        <rFont val="Noto Sans CJK SC"/>
        <family val="2"/>
      </rPr>
      <t>기능구분</t>
    </r>
  </si>
  <si>
    <t>비고</t>
  </si>
  <si>
    <t>Page</t>
  </si>
  <si>
    <t>로그인/회원가입</t>
  </si>
  <si>
    <t>로그인</t>
  </si>
  <si>
    <t>-</t>
  </si>
  <si>
    <t>Program</t>
  </si>
  <si>
    <t>회원가입</t>
  </si>
  <si>
    <t>아이디 찾기</t>
  </si>
  <si>
    <t>비밀번호 찾기</t>
  </si>
  <si>
    <t>홈</t>
  </si>
  <si>
    <t>오늘의 뉴스</t>
  </si>
  <si>
    <t>요약 피드 조회, 원문 링크 이동</t>
  </si>
  <si>
    <t>Tab</t>
  </si>
  <si>
    <t>비동기 실시간 업데이트</t>
  </si>
  <si>
    <t>나의 워크스페이스</t>
  </si>
  <si>
    <t>최근 작업 목록, 즐겨찾기 보드</t>
  </si>
  <si>
    <t>뉴스탐색</t>
  </si>
  <si>
    <t>전체뉴스피드</t>
  </si>
  <si>
    <t>무한 스크롤, 최신순/인기순 정렬</t>
  </si>
  <si>
    <r>
      <rPr>
        <sz val="11"/>
        <rFont val="Malgun Gothic"/>
        <family val="3"/>
        <charset val="129"/>
      </rPr>
      <t xml:space="preserve">Naver </t>
    </r>
    <r>
      <rPr>
        <sz val="11"/>
        <rFont val="Noto Sans CJK SC"/>
        <family val="2"/>
      </rPr>
      <t xml:space="preserve">뉴스 </t>
    </r>
    <r>
      <rPr>
        <sz val="11"/>
        <rFont val="Malgun Gothic"/>
        <family val="3"/>
        <charset val="129"/>
      </rPr>
      <t>API</t>
    </r>
  </si>
  <si>
    <t>카테고리필터</t>
  </si>
  <si>
    <t>기술 스택별 필터링</t>
  </si>
  <si>
    <t>스크랩 북</t>
  </si>
  <si>
    <t>뉴스 북마크 저장/해제</t>
  </si>
  <si>
    <t>워크스페이스</t>
  </si>
  <si>
    <t>공동편집에디터</t>
  </si>
  <si>
    <t>마크다운 편집, 뉴스 본문 인용</t>
  </si>
  <si>
    <r>
      <rPr>
        <sz val="11"/>
        <rFont val="Malgun Gothic"/>
        <family val="3"/>
        <charset val="129"/>
      </rPr>
      <t xml:space="preserve">WebSocket </t>
    </r>
    <r>
      <rPr>
        <sz val="11"/>
        <rFont val="Noto Sans CJK SC"/>
        <family val="2"/>
      </rPr>
      <t>실시간 동기화</t>
    </r>
  </si>
  <si>
    <t>커뮤니케이션</t>
  </si>
  <si>
    <t>실시간 채팅, 문장 단위 댓글(Thread)</t>
  </si>
  <si>
    <t>협업관리</t>
  </si>
  <si>
    <t>실시간 접속자 현황, 커서 위치 공유</t>
  </si>
  <si>
    <t>히스토리</t>
  </si>
  <si>
    <t>버전별 편집 이력, 변경 로그 복구</t>
  </si>
  <si>
    <r>
      <rPr>
        <sz val="11"/>
        <rFont val="Malgun Gothic"/>
        <family val="3"/>
        <charset val="129"/>
      </rPr>
      <t xml:space="preserve">MongoDB </t>
    </r>
    <r>
      <rPr>
        <sz val="11"/>
        <rFont val="Noto Sans CJK SC"/>
        <family val="2"/>
      </rPr>
      <t>저장</t>
    </r>
  </si>
  <si>
    <t>알림센터</t>
  </si>
  <si>
    <t>실시간 푸시</t>
  </si>
  <si>
    <t>구독 키워드 뉴스 도착 알림</t>
  </si>
  <si>
    <t>SSE/Web Push</t>
  </si>
  <si>
    <t>활동 알림</t>
  </si>
  <si>
    <t>멘션, 댓글, 워크스페이스 초대</t>
  </si>
  <si>
    <t>마이페이지</t>
  </si>
  <si>
    <t>개인 설정</t>
  </si>
  <si>
    <t>프로필 수정, 관심 기술 키워드 관리</t>
  </si>
  <si>
    <t>서비스 설정</t>
  </si>
  <si>
    <t>알림 수신 채널 설정(Web/Email)</t>
  </si>
  <si>
    <t>NO</t>
  </si>
  <si>
    <t>업무영역</t>
  </si>
  <si>
    <t>프로그램명</t>
  </si>
  <si>
    <t>DB Transaction</t>
  </si>
  <si>
    <r>
      <rPr>
        <b/>
        <sz val="11"/>
        <rFont val="Noto Sans CJK SC"/>
        <family val="2"/>
      </rPr>
      <t>프로그램</t>
    </r>
    <r>
      <rPr>
        <b/>
        <sz val="11"/>
        <rFont val="Malgun Gothic"/>
        <family val="3"/>
        <charset val="129"/>
      </rPr>
      <t>ID</t>
    </r>
  </si>
  <si>
    <t>작업자</t>
  </si>
  <si>
    <t>Lev1</t>
  </si>
  <si>
    <t>Lev2</t>
  </si>
  <si>
    <t>Lev3</t>
  </si>
  <si>
    <t>Lev4</t>
  </si>
  <si>
    <t>Lev5</t>
  </si>
  <si>
    <r>
      <rPr>
        <sz val="11"/>
        <rFont val="Noto Sans CJK SC"/>
        <family val="2"/>
      </rPr>
      <t>로그인</t>
    </r>
    <r>
      <rPr>
        <sz val="11"/>
        <rFont val="Malgun Gothic"/>
        <family val="3"/>
        <charset val="129"/>
      </rPr>
      <t>/</t>
    </r>
    <r>
      <rPr>
        <sz val="11"/>
        <rFont val="Noto Sans CJK SC"/>
        <family val="2"/>
      </rPr>
      <t>회원가입</t>
    </r>
  </si>
  <si>
    <t>R</t>
  </si>
  <si>
    <t>LOGIN_001</t>
  </si>
  <si>
    <t>홍길동</t>
  </si>
  <si>
    <t>C</t>
  </si>
  <si>
    <t>SIGNUP_001</t>
  </si>
  <si>
    <t>FIND_ID_001</t>
  </si>
  <si>
    <t>R, U</t>
  </si>
  <si>
    <t>FIND_PW_001</t>
  </si>
  <si>
    <r>
      <rPr>
        <sz val="11"/>
        <rFont val="Noto Sans CJK SC"/>
        <family val="2"/>
      </rPr>
      <t>요약 피드 조회</t>
    </r>
    <r>
      <rPr>
        <sz val="11"/>
        <rFont val="Malgun Gothic"/>
        <family val="3"/>
        <charset val="129"/>
      </rPr>
      <t xml:space="preserve">, </t>
    </r>
    <r>
      <rPr>
        <sz val="11"/>
        <rFont val="Noto Sans CJK SC"/>
        <family val="2"/>
      </rPr>
      <t>원문 링크 이동</t>
    </r>
  </si>
  <si>
    <t>HOME_001</t>
  </si>
  <si>
    <r>
      <rPr>
        <sz val="11"/>
        <rFont val="Noto Sans CJK SC"/>
        <family val="2"/>
      </rPr>
      <t>최근 작업 목록</t>
    </r>
    <r>
      <rPr>
        <sz val="11"/>
        <rFont val="Malgun Gothic"/>
        <family val="3"/>
        <charset val="129"/>
      </rPr>
      <t xml:space="preserve">, </t>
    </r>
    <r>
      <rPr>
        <sz val="11"/>
        <rFont val="Noto Sans CJK SC"/>
        <family val="2"/>
      </rPr>
      <t>즐겨찾기 보드</t>
    </r>
  </si>
  <si>
    <t>HOME_002</t>
  </si>
  <si>
    <r>
      <rPr>
        <sz val="11"/>
        <rFont val="Noto Sans CJK SC"/>
        <family val="2"/>
      </rPr>
      <t>무한 스크롤</t>
    </r>
    <r>
      <rPr>
        <sz val="11"/>
        <rFont val="Malgun Gothic"/>
        <family val="3"/>
        <charset val="129"/>
      </rPr>
      <t xml:space="preserve">, </t>
    </r>
    <r>
      <rPr>
        <sz val="11"/>
        <rFont val="Noto Sans CJK SC"/>
        <family val="2"/>
      </rPr>
      <t>최신순</t>
    </r>
    <r>
      <rPr>
        <sz val="11"/>
        <rFont val="Malgun Gothic"/>
        <family val="3"/>
        <charset val="129"/>
      </rPr>
      <t>/</t>
    </r>
    <r>
      <rPr>
        <sz val="11"/>
        <rFont val="Noto Sans CJK SC"/>
        <family val="2"/>
      </rPr>
      <t>인기순</t>
    </r>
  </si>
  <si>
    <t>NEWS_001</t>
  </si>
  <si>
    <t>NEWS_002</t>
  </si>
  <si>
    <r>
      <rPr>
        <sz val="11"/>
        <rFont val="Noto Sans CJK SC"/>
        <family val="2"/>
      </rPr>
      <t>뉴스 북마크 저장</t>
    </r>
    <r>
      <rPr>
        <sz val="11"/>
        <rFont val="Malgun Gothic"/>
        <family val="3"/>
        <charset val="129"/>
      </rPr>
      <t>/</t>
    </r>
    <r>
      <rPr>
        <sz val="11"/>
        <rFont val="Noto Sans CJK SC"/>
        <family val="2"/>
      </rPr>
      <t>해제</t>
    </r>
  </si>
  <si>
    <t>C, D</t>
  </si>
  <si>
    <t>NEWS_003</t>
  </si>
  <si>
    <t>메모 작성</t>
  </si>
  <si>
    <r>
      <rPr>
        <sz val="11"/>
        <rFont val="Noto Sans CJK SC"/>
        <family val="2"/>
      </rPr>
      <t xml:space="preserve">뉴스 스크랩 메모 저장 </t>
    </r>
    <r>
      <rPr>
        <sz val="11"/>
        <rFont val="Malgun Gothic"/>
        <family val="3"/>
        <charset val="129"/>
      </rPr>
      <t>(MongoDB)</t>
    </r>
  </si>
  <si>
    <t>C, U</t>
  </si>
  <si>
    <t>NEWS_004</t>
  </si>
  <si>
    <r>
      <rPr>
        <sz val="11"/>
        <rFont val="Noto Sans CJK SC"/>
        <family val="2"/>
      </rPr>
      <t>마크다운 편집</t>
    </r>
    <r>
      <rPr>
        <sz val="11"/>
        <rFont val="Malgun Gothic"/>
        <family val="3"/>
        <charset val="129"/>
      </rPr>
      <t>, Quill.js Delta</t>
    </r>
  </si>
  <si>
    <t>WORK_001</t>
  </si>
  <si>
    <t>자동저장</t>
  </si>
  <si>
    <r>
      <rPr>
        <sz val="11"/>
        <rFont val="Malgun Gothic"/>
        <family val="3"/>
        <charset val="129"/>
      </rPr>
      <t>30</t>
    </r>
    <r>
      <rPr>
        <sz val="11"/>
        <rFont val="Noto Sans CJK SC"/>
        <family val="2"/>
      </rPr>
      <t xml:space="preserve">초 주기 </t>
    </r>
    <r>
      <rPr>
        <sz val="11"/>
        <rFont val="Malgun Gothic"/>
        <family val="3"/>
        <charset val="129"/>
      </rPr>
      <t xml:space="preserve">DRAFT_SNAPSHOT </t>
    </r>
    <r>
      <rPr>
        <sz val="11"/>
        <rFont val="Noto Sans CJK SC"/>
        <family val="2"/>
      </rPr>
      <t>덮어쓰기</t>
    </r>
  </si>
  <si>
    <t>U</t>
  </si>
  <si>
    <t>WORK_005</t>
  </si>
  <si>
    <t>시스템</t>
  </si>
  <si>
    <t>버전 저장</t>
  </si>
  <si>
    <r>
      <rPr>
        <sz val="11"/>
        <rFont val="Noto Sans CJK SC"/>
        <family val="2"/>
      </rPr>
      <t xml:space="preserve">수동 저장 시 </t>
    </r>
    <r>
      <rPr>
        <sz val="11"/>
        <rFont val="Malgun Gothic"/>
        <family val="3"/>
        <charset val="129"/>
      </rPr>
      <t xml:space="preserve">DRAFT_VERSION </t>
    </r>
    <r>
      <rPr>
        <sz val="11"/>
        <rFont val="Noto Sans CJK SC"/>
        <family val="2"/>
      </rPr>
      <t>생성</t>
    </r>
  </si>
  <si>
    <t>WORK_006</t>
  </si>
  <si>
    <t>버전 복구</t>
  </si>
  <si>
    <t>특정 버전으로 문서 복구</t>
  </si>
  <si>
    <t>WORK_007</t>
  </si>
  <si>
    <r>
      <rPr>
        <sz val="11"/>
        <rFont val="Noto Sans CJK SC"/>
        <family val="2"/>
      </rPr>
      <t>실시간 채팅</t>
    </r>
    <r>
      <rPr>
        <sz val="11"/>
        <rFont val="Malgun Gothic"/>
        <family val="3"/>
        <charset val="129"/>
      </rPr>
      <t xml:space="preserve">, Thread </t>
    </r>
    <r>
      <rPr>
        <sz val="11"/>
        <rFont val="Noto Sans CJK SC"/>
        <family val="2"/>
      </rPr>
      <t>댓글</t>
    </r>
  </si>
  <si>
    <t>C, R</t>
  </si>
  <si>
    <t>WORK_002</t>
  </si>
  <si>
    <r>
      <rPr>
        <sz val="11"/>
        <rFont val="Noto Sans CJK SC"/>
        <family val="2"/>
      </rPr>
      <t>실시간 접속자 현황</t>
    </r>
    <r>
      <rPr>
        <sz val="11"/>
        <rFont val="Malgun Gothic"/>
        <family val="3"/>
        <charset val="129"/>
      </rPr>
      <t xml:space="preserve">, </t>
    </r>
    <r>
      <rPr>
        <sz val="11"/>
        <rFont val="Noto Sans CJK SC"/>
        <family val="2"/>
      </rPr>
      <t>커서 공유</t>
    </r>
  </si>
  <si>
    <t>WORK_003</t>
  </si>
  <si>
    <r>
      <rPr>
        <sz val="11"/>
        <rFont val="Noto Sans CJK SC"/>
        <family val="2"/>
      </rPr>
      <t>버전 목록 조회</t>
    </r>
    <r>
      <rPr>
        <sz val="11"/>
        <rFont val="Malgun Gothic"/>
        <family val="3"/>
        <charset val="129"/>
      </rPr>
      <t xml:space="preserve">, Diff </t>
    </r>
    <r>
      <rPr>
        <sz val="11"/>
        <rFont val="Noto Sans CJK SC"/>
        <family val="2"/>
      </rPr>
      <t>보기</t>
    </r>
  </si>
  <si>
    <t>WORK_004</t>
  </si>
  <si>
    <r>
      <rPr>
        <sz val="11"/>
        <rFont val="Malgun Gothic"/>
        <family val="3"/>
        <charset val="129"/>
      </rPr>
      <t xml:space="preserve">SSE </t>
    </r>
    <r>
      <rPr>
        <sz val="11"/>
        <rFont val="Noto Sans CJK SC"/>
        <family val="2"/>
      </rPr>
      <t>알림 구독</t>
    </r>
  </si>
  <si>
    <r>
      <rPr>
        <sz val="11"/>
        <rFont val="Noto Sans CJK SC"/>
        <family val="2"/>
      </rPr>
      <t xml:space="preserve">브라우저 접속 시 </t>
    </r>
    <r>
      <rPr>
        <sz val="11"/>
        <rFont val="Malgun Gothic"/>
        <family val="3"/>
        <charset val="129"/>
      </rPr>
      <t xml:space="preserve">SSE </t>
    </r>
    <r>
      <rPr>
        <sz val="11"/>
        <rFont val="Noto Sans CJK SC"/>
        <family val="2"/>
      </rPr>
      <t>연결</t>
    </r>
  </si>
  <si>
    <t>ALARM_003</t>
  </si>
  <si>
    <r>
      <rPr>
        <sz val="11"/>
        <rFont val="Malgun Gothic"/>
        <family val="3"/>
        <charset val="129"/>
      </rPr>
      <t xml:space="preserve">Web Push </t>
    </r>
    <r>
      <rPr>
        <sz val="11"/>
        <rFont val="Noto Sans CJK SC"/>
        <family val="2"/>
      </rPr>
      <t>구독 등록</t>
    </r>
  </si>
  <si>
    <r>
      <rPr>
        <sz val="11"/>
        <rFont val="Malgun Gothic"/>
        <family val="3"/>
        <charset val="129"/>
      </rPr>
      <t xml:space="preserve">VAPID </t>
    </r>
    <r>
      <rPr>
        <sz val="11"/>
        <rFont val="Noto Sans CJK SC"/>
        <family val="2"/>
      </rPr>
      <t>방식 크롬 푸시 구독 등록</t>
    </r>
  </si>
  <si>
    <t>ALARM_004</t>
  </si>
  <si>
    <r>
      <rPr>
        <sz val="11"/>
        <rFont val="Noto Sans CJK SC"/>
        <family val="2"/>
      </rPr>
      <t xml:space="preserve">키워드 뉴스 </t>
    </r>
    <r>
      <rPr>
        <sz val="11"/>
        <rFont val="Malgun Gothic"/>
        <family val="3"/>
        <charset val="129"/>
      </rPr>
      <t xml:space="preserve">SSE/Web Push </t>
    </r>
    <r>
      <rPr>
        <sz val="11"/>
        <rFont val="Noto Sans CJK SC"/>
        <family val="2"/>
      </rPr>
      <t>알림</t>
    </r>
  </si>
  <si>
    <t>실시간 푸시 알림</t>
  </si>
  <si>
    <t>ALARM_001</t>
  </si>
  <si>
    <r>
      <rPr>
        <sz val="11"/>
        <rFont val="Noto Sans CJK SC"/>
        <family val="2"/>
      </rPr>
      <t>멘션</t>
    </r>
    <r>
      <rPr>
        <sz val="11"/>
        <rFont val="Malgun Gothic"/>
        <family val="3"/>
        <charset val="129"/>
      </rPr>
      <t xml:space="preserve">, </t>
    </r>
    <r>
      <rPr>
        <sz val="11"/>
        <rFont val="Noto Sans CJK SC"/>
        <family val="2"/>
      </rPr>
      <t>댓글</t>
    </r>
    <r>
      <rPr>
        <sz val="11"/>
        <rFont val="Malgun Gothic"/>
        <family val="3"/>
        <charset val="129"/>
      </rPr>
      <t xml:space="preserve">, </t>
    </r>
    <r>
      <rPr>
        <sz val="11"/>
        <rFont val="Noto Sans CJK SC"/>
        <family val="2"/>
      </rPr>
      <t>워크스페이스 초대</t>
    </r>
  </si>
  <si>
    <t>ALARM_002</t>
  </si>
  <si>
    <t>프로필 수정</t>
  </si>
  <si>
    <t>MYPAGE_001</t>
  </si>
  <si>
    <t>키워드 관리</t>
  </si>
  <si>
    <r>
      <rPr>
        <sz val="11"/>
        <rFont val="Noto Sans CJK SC"/>
        <family val="2"/>
      </rPr>
      <t>관심 기술 키워드 추가</t>
    </r>
    <r>
      <rPr>
        <sz val="11"/>
        <rFont val="Malgun Gothic"/>
        <family val="3"/>
        <charset val="129"/>
      </rPr>
      <t>/</t>
    </r>
    <r>
      <rPr>
        <sz val="11"/>
        <rFont val="Noto Sans CJK SC"/>
        <family val="2"/>
      </rPr>
      <t>삭제</t>
    </r>
  </si>
  <si>
    <t>MYPAGE_004</t>
  </si>
  <si>
    <r>
      <rPr>
        <sz val="11"/>
        <rFont val="Noto Sans CJK SC"/>
        <family val="2"/>
      </rPr>
      <t xml:space="preserve">알림 수신 채널 </t>
    </r>
    <r>
      <rPr>
        <sz val="11"/>
        <rFont val="Malgun Gothic"/>
        <family val="3"/>
        <charset val="129"/>
      </rPr>
      <t>ON/OFF</t>
    </r>
  </si>
  <si>
    <t>MYPAGE_002</t>
  </si>
  <si>
    <t>비밀번호 변경</t>
  </si>
  <si>
    <t>현재 비밀번호 확인 후 변경</t>
  </si>
  <si>
    <t>MYPAGE_003</t>
  </si>
  <si>
    <t>컬렉션 정의서</t>
  </si>
  <si>
    <t>Collection ID</t>
  </si>
  <si>
    <r>
      <rPr>
        <b/>
        <sz val="11"/>
        <rFont val="Malgun Gothic"/>
        <family val="3"/>
        <charset val="129"/>
      </rPr>
      <t xml:space="preserve">Collection </t>
    </r>
    <r>
      <rPr>
        <b/>
        <sz val="11"/>
        <rFont val="Noto Sans CJK SC"/>
        <family val="2"/>
      </rPr>
      <t>명</t>
    </r>
  </si>
  <si>
    <t>Depth</t>
  </si>
  <si>
    <t>칼럼ID</t>
  </si>
  <si>
    <t>칼럼명</t>
  </si>
  <si>
    <t>Type</t>
  </si>
  <si>
    <t>Length</t>
  </si>
  <si>
    <t>Decimal</t>
  </si>
  <si>
    <t>PK</t>
  </si>
  <si>
    <t>NOT NULL</t>
  </si>
  <si>
    <t>UNIQUE</t>
  </si>
  <si>
    <r>
      <rPr>
        <i/>
        <sz val="9"/>
        <color rgb="FF1F4E79"/>
        <rFont val="Malgun Gothic"/>
        <family val="3"/>
        <charset val="129"/>
      </rPr>
      <t># Naver API</t>
    </r>
    <r>
      <rPr>
        <i/>
        <sz val="9"/>
        <color rgb="FF1F4E79"/>
        <rFont val="Noto Sans CJK SC"/>
        <family val="2"/>
      </rPr>
      <t xml:space="preserve">로 수집된 기사 저장 </t>
    </r>
    <r>
      <rPr>
        <i/>
        <sz val="9"/>
        <color rgb="FF1F4E79"/>
        <rFont val="Malgun Gothic"/>
        <family val="3"/>
        <charset val="129"/>
      </rPr>
      <t xml:space="preserve">/ </t>
    </r>
    <r>
      <rPr>
        <i/>
        <sz val="9"/>
        <color rgb="FF1F4E79"/>
        <rFont val="Noto Sans CJK SC"/>
        <family val="2"/>
      </rPr>
      <t xml:space="preserve">스크랩 </t>
    </r>
    <r>
      <rPr>
        <i/>
        <sz val="9"/>
        <color rgb="FF1F4E79"/>
        <rFont val="Malgun Gothic"/>
        <family val="3"/>
        <charset val="129"/>
      </rPr>
      <t xml:space="preserve">+ </t>
    </r>
    <r>
      <rPr>
        <i/>
        <sz val="9"/>
        <color rgb="FF1F4E79"/>
        <rFont val="Noto Sans CJK SC"/>
        <family val="2"/>
      </rPr>
      <t>메모 포함</t>
    </r>
  </si>
  <si>
    <t>ARTICLE</t>
  </si>
  <si>
    <t>기사/뉴스</t>
  </si>
  <si>
    <t>ARTICLE_ID</t>
  </si>
  <si>
    <t>기사 ID (UUID)</t>
  </si>
  <si>
    <t>STRING</t>
  </si>
  <si>
    <t>*</t>
  </si>
  <si>
    <t>USER_ID</t>
  </si>
  <si>
    <t>사용자 ID</t>
  </si>
  <si>
    <t>KEYWORD</t>
  </si>
  <si>
    <t>검색 키워드</t>
  </si>
  <si>
    <t>TITLE</t>
  </si>
  <si>
    <t>기사 제목</t>
  </si>
  <si>
    <t>URL</t>
  </si>
  <si>
    <t>기사 URL</t>
  </si>
  <si>
    <t>SOURCE</t>
  </si>
  <si>
    <t>출처 (네이버 등)</t>
  </si>
  <si>
    <t>MEMO</t>
  </si>
  <si>
    <t>사용자 메모</t>
  </si>
  <si>
    <t>IS_SCRAPED</t>
  </si>
  <si>
    <t>스크랩 여부</t>
  </si>
  <si>
    <t>BOOLEAN</t>
  </si>
  <si>
    <t>COLLECTED_AT</t>
  </si>
  <si>
    <t>수집 시간</t>
  </si>
  <si>
    <t>DATE</t>
  </si>
  <si>
    <r>
      <rPr>
        <i/>
        <sz val="9"/>
        <color rgb="FF1F4E79"/>
        <rFont val="Malgun Gothic"/>
        <family val="3"/>
        <charset val="129"/>
      </rPr>
      <t># 30</t>
    </r>
    <r>
      <rPr>
        <i/>
        <sz val="9"/>
        <color rgb="FF1F4E79"/>
        <rFont val="Noto Sans CJK SC"/>
        <family val="2"/>
      </rPr>
      <t xml:space="preserve">초마다 자동저장 </t>
    </r>
    <r>
      <rPr>
        <i/>
        <sz val="9"/>
        <color rgb="FF1F4E79"/>
        <rFont val="Malgun Gothic"/>
        <family val="3"/>
        <charset val="129"/>
      </rPr>
      <t xml:space="preserve">- </t>
    </r>
    <r>
      <rPr>
        <i/>
        <sz val="9"/>
        <color rgb="FF1F4E79"/>
        <rFont val="Noto Sans CJK SC"/>
        <family val="2"/>
      </rPr>
      <t>버전 번호 없음</t>
    </r>
    <r>
      <rPr>
        <i/>
        <sz val="9"/>
        <color rgb="FF1F4E79"/>
        <rFont val="Malgun Gothic"/>
        <family val="3"/>
        <charset val="129"/>
      </rPr>
      <t xml:space="preserve">, </t>
    </r>
    <r>
      <rPr>
        <i/>
        <sz val="9"/>
        <color rgb="FF1F4E79"/>
        <rFont val="Noto Sans CJK SC"/>
        <family val="2"/>
      </rPr>
      <t>단일 문서 덮어쓰기</t>
    </r>
  </si>
  <si>
    <t>DRAFT_SNAPSHOT</t>
  </si>
  <si>
    <t>자동저장 스냅샷</t>
  </si>
  <si>
    <t>ROOM_ID</t>
  </si>
  <si>
    <t>워크스페이스 ID</t>
  </si>
  <si>
    <t>CONTENT</t>
  </si>
  <si>
    <t>전체 문서 내용</t>
  </si>
  <si>
    <t>OBJECT</t>
  </si>
  <si>
    <t>LAST_EDITOR_ID</t>
  </si>
  <si>
    <t>마지막 편집자 ID</t>
  </si>
  <si>
    <t>SAVED_AT</t>
  </si>
  <si>
    <t>자동저장 시간</t>
  </si>
  <si>
    <r>
      <rPr>
        <i/>
        <sz val="9"/>
        <color rgb="FF1F4E79"/>
        <rFont val="Malgun Gothic"/>
        <family val="3"/>
        <charset val="129"/>
      </rPr>
      <t xml:space="preserve"># </t>
    </r>
    <r>
      <rPr>
        <i/>
        <sz val="9"/>
        <color rgb="FF1F4E79"/>
        <rFont val="Noto Sans CJK SC"/>
        <family val="2"/>
      </rPr>
      <t xml:space="preserve">수동 저장 시에만 생성 </t>
    </r>
    <r>
      <rPr>
        <i/>
        <sz val="9"/>
        <color rgb="FF1F4E79"/>
        <rFont val="Malgun Gothic"/>
        <family val="3"/>
        <charset val="129"/>
      </rPr>
      <t xml:space="preserve">- v1.0, v1.1, v2.0 </t>
    </r>
    <r>
      <rPr>
        <i/>
        <sz val="9"/>
        <color rgb="FF1F4E79"/>
        <rFont val="Noto Sans CJK SC"/>
        <family val="2"/>
      </rPr>
      <t>순으로 버전 증가</t>
    </r>
  </si>
  <si>
    <t>DRAFT_VERSION</t>
  </si>
  <si>
    <t>명시적 버전</t>
  </si>
  <si>
    <t>VERSION_ID</t>
  </si>
  <si>
    <t>버전 ID (UUID)</t>
  </si>
  <si>
    <t>VERSION_NO</t>
  </si>
  <si>
    <t>버전 번호 (v1.0)</t>
  </si>
  <si>
    <t>문서 전체 내용</t>
  </si>
  <si>
    <t>AUTHOR_ID</t>
  </si>
  <si>
    <t>저장한 사용자 ID</t>
  </si>
  <si>
    <t>CHANGE_SUMMARY</t>
  </si>
  <si>
    <t>변경 요약 메모</t>
  </si>
  <si>
    <t>VERSION_TYPE</t>
  </si>
  <si>
    <t>버전 종류 (MAJOR/MINOR)</t>
  </si>
  <si>
    <t>CREATED_AT</t>
  </si>
  <si>
    <t>버전 생성 시간</t>
  </si>
  <si>
    <r>
      <rPr>
        <i/>
        <sz val="9"/>
        <color rgb="FF1F4E79"/>
        <rFont val="Malgun Gothic"/>
        <family val="3"/>
        <charset val="129"/>
      </rPr>
      <t># WebSocket</t>
    </r>
    <r>
      <rPr>
        <i/>
        <sz val="9"/>
        <color rgb="FF1F4E79"/>
        <rFont val="Noto Sans CJK SC"/>
        <family val="2"/>
      </rPr>
      <t xml:space="preserve">으로 수신된 </t>
    </r>
    <r>
      <rPr>
        <i/>
        <sz val="9"/>
        <color rgb="FF1F4E79"/>
        <rFont val="Malgun Gothic"/>
        <family val="3"/>
        <charset val="129"/>
      </rPr>
      <t xml:space="preserve">Delta </t>
    </r>
    <r>
      <rPr>
        <i/>
        <sz val="9"/>
        <color rgb="FF1F4E79"/>
        <rFont val="Noto Sans CJK SC"/>
        <family val="2"/>
      </rPr>
      <t xml:space="preserve">연산 저장 </t>
    </r>
    <r>
      <rPr>
        <i/>
        <sz val="9"/>
        <color rgb="FF1F4E79"/>
        <rFont val="Malgun Gothic"/>
        <family val="3"/>
        <charset val="129"/>
      </rPr>
      <t xml:space="preserve">- </t>
    </r>
    <r>
      <rPr>
        <i/>
        <sz val="9"/>
        <color rgb="FF1F4E79"/>
        <rFont val="Noto Sans CJK SC"/>
        <family val="2"/>
      </rPr>
      <t>충돌 해결 및 히스토리 복원용</t>
    </r>
  </si>
  <si>
    <t>DELTA_LOG</t>
  </si>
  <si>
    <t>델타 변경 이력</t>
  </si>
  <si>
    <t>DELTA_ID</t>
  </si>
  <si>
    <t>델타 ID (UUID)</t>
  </si>
  <si>
    <t>편집자 ID</t>
  </si>
  <si>
    <t>DELTA_OPS</t>
  </si>
  <si>
    <r>
      <rPr>
        <sz val="10"/>
        <color rgb="FF000000"/>
        <rFont val="Malgun Gothic"/>
        <family val="3"/>
        <charset val="129"/>
      </rPr>
      <t xml:space="preserve">Delta </t>
    </r>
    <r>
      <rPr>
        <sz val="10"/>
        <color rgb="FF000000"/>
        <rFont val="Noto Sans CJK SC"/>
        <family val="2"/>
      </rPr>
      <t>연산 객체</t>
    </r>
  </si>
  <si>
    <t>ARRAY</t>
  </si>
  <si>
    <t>BASE_VERSION</t>
  </si>
  <si>
    <t>기준 버전 번호</t>
  </si>
  <si>
    <t>TRANSFORM_SEQ</t>
  </si>
  <si>
    <t>변환 순서 (서버 수신 순)</t>
  </si>
  <si>
    <t>INTEGER</t>
  </si>
  <si>
    <t>APPLIED_AT</t>
  </si>
  <si>
    <t>서버 적용 시간</t>
  </si>
  <si>
    <r>
      <rPr>
        <i/>
        <sz val="9"/>
        <color rgb="FF1F4E79"/>
        <rFont val="Malgun Gothic"/>
        <family val="3"/>
        <charset val="129"/>
      </rPr>
      <t xml:space="preserve"># SSE </t>
    </r>
    <r>
      <rPr>
        <i/>
        <sz val="9"/>
        <color rgb="FF1F4E79"/>
        <rFont val="Noto Sans CJK SC"/>
        <family val="2"/>
      </rPr>
      <t xml:space="preserve">실시간 알림 </t>
    </r>
    <r>
      <rPr>
        <i/>
        <sz val="9"/>
        <color rgb="FF1F4E79"/>
        <rFont val="Malgun Gothic"/>
        <family val="3"/>
        <charset val="129"/>
      </rPr>
      <t xml:space="preserve">+ Web Push </t>
    </r>
    <r>
      <rPr>
        <i/>
        <sz val="9"/>
        <color rgb="FF1F4E79"/>
        <rFont val="Noto Sans CJK SC"/>
        <family val="2"/>
      </rPr>
      <t>이력 저장</t>
    </r>
  </si>
  <si>
    <t>ALARM</t>
  </si>
  <si>
    <t>알림</t>
  </si>
  <si>
    <t>ALARM_ID</t>
  </si>
  <si>
    <t>알림 ID (UUID)</t>
  </si>
  <si>
    <t>수신자 ID</t>
  </si>
  <si>
    <t>ALARM_TYPE</t>
  </si>
  <si>
    <t>알림 종류 (KEYWORD/MENTION/COMMENT/INVITE)</t>
  </si>
  <si>
    <t>알림 제목</t>
  </si>
  <si>
    <t>알림 내용</t>
  </si>
  <si>
    <t>REF_ID</t>
  </si>
  <si>
    <t>참조 ID (기사/문서/워크스페이스)</t>
  </si>
  <si>
    <t>IS_READ</t>
  </si>
  <si>
    <t>읽음 여부</t>
  </si>
  <si>
    <t>SEND_TYPE</t>
  </si>
  <si>
    <t>발송 방식 (SSE/WEB_PUSH/EMAIL)</t>
  </si>
  <si>
    <t>알림 생성 시간</t>
  </si>
  <si>
    <t>테이블 명세서</t>
  </si>
  <si>
    <t>Table ID</t>
  </si>
  <si>
    <r>
      <rPr>
        <b/>
        <sz val="11"/>
        <color rgb="FF000000"/>
        <rFont val="Malgun Gothic"/>
        <family val="3"/>
        <charset val="129"/>
      </rPr>
      <t xml:space="preserve">Table </t>
    </r>
    <r>
      <rPr>
        <b/>
        <sz val="11"/>
        <color rgb="FF000000"/>
        <rFont val="Noto Sans CJK SC"/>
        <family val="2"/>
      </rPr>
      <t>명</t>
    </r>
  </si>
  <si>
    <t>Column ID</t>
  </si>
  <si>
    <t>Column Name</t>
  </si>
  <si>
    <t>FK</t>
  </si>
  <si>
    <t>USER_INFO</t>
  </si>
  <si>
    <t>회원정보</t>
  </si>
  <si>
    <t>VARCHAR</t>
  </si>
  <si>
    <t>USER_EMAIL</t>
  </si>
  <si>
    <t>이메일</t>
  </si>
  <si>
    <t>USER_PWD</t>
  </si>
  <si>
    <t>비밀번호</t>
  </si>
  <si>
    <t>USER_NAME</t>
  </si>
  <si>
    <t>닉네임</t>
  </si>
  <si>
    <t>REG_DT</t>
  </si>
  <si>
    <t>등록일</t>
  </si>
  <si>
    <t>DATETIME</t>
  </si>
  <si>
    <t>구독 키워드</t>
  </si>
  <si>
    <t>KEYWORD_ID</t>
  </si>
  <si>
    <t>키워드 ID</t>
  </si>
  <si>
    <t>KEYWORD_NAME</t>
  </si>
  <si>
    <t>키워드명</t>
  </si>
  <si>
    <t>생성일</t>
  </si>
  <si>
    <t>WORKSPACE</t>
  </si>
  <si>
    <t>ROOM_NAME</t>
  </si>
  <si>
    <t>워크스페이스명</t>
  </si>
  <si>
    <t>OWNER_ID</t>
  </si>
  <si>
    <t>소유자 ID</t>
  </si>
  <si>
    <t>WORKSPACE_MEMBER</t>
  </si>
  <si>
    <t>워크스페이스 멤버</t>
  </si>
  <si>
    <t>JOINED_AT</t>
  </si>
  <si>
    <t>참여일</t>
  </si>
  <si>
    <t>PUSH_SUBSCRIPTION</t>
  </si>
  <si>
    <r>
      <rPr>
        <sz val="11"/>
        <rFont val="Malgun Gothic"/>
        <family val="3"/>
        <charset val="129"/>
      </rPr>
      <t xml:space="preserve">Web Push </t>
    </r>
    <r>
      <rPr>
        <sz val="11"/>
        <rFont val="Noto Sans CJK SC"/>
        <family val="2"/>
      </rPr>
      <t>구독</t>
    </r>
  </si>
  <si>
    <t>SUBSCRIPTION_ID</t>
  </si>
  <si>
    <r>
      <rPr>
        <sz val="11"/>
        <rFont val="Noto Sans CJK SC"/>
        <family val="2"/>
      </rPr>
      <t xml:space="preserve">구독 </t>
    </r>
    <r>
      <rPr>
        <sz val="11"/>
        <rFont val="Malgun Gothic"/>
        <family val="3"/>
        <charset val="129"/>
      </rPr>
      <t>ID</t>
    </r>
  </si>
  <si>
    <r>
      <rPr>
        <sz val="11"/>
        <rFont val="Noto Sans CJK SC"/>
        <family val="2"/>
      </rPr>
      <t xml:space="preserve">사용자 </t>
    </r>
    <r>
      <rPr>
        <sz val="11"/>
        <rFont val="Malgun Gothic"/>
        <family val="3"/>
        <charset val="129"/>
      </rPr>
      <t>ID</t>
    </r>
  </si>
  <si>
    <t>ENDPOINT</t>
  </si>
  <si>
    <r>
      <rPr>
        <sz val="11"/>
        <rFont val="Malgun Gothic"/>
        <family val="3"/>
        <charset val="129"/>
      </rPr>
      <t xml:space="preserve">Push </t>
    </r>
    <r>
      <rPr>
        <sz val="11"/>
        <rFont val="Noto Sans CJK SC"/>
        <family val="2"/>
      </rPr>
      <t>서버 엔드포인트</t>
    </r>
  </si>
  <si>
    <t>P256DH_KEY</t>
  </si>
  <si>
    <t>암호화 공개키</t>
  </si>
  <si>
    <t>AUTH_KEY</t>
  </si>
  <si>
    <t>인증 키</t>
  </si>
  <si>
    <t>구독 등록일</t>
  </si>
  <si>
    <t>Logical Data Modeling (ERD)</t>
  </si>
  <si>
    <t>Physical Data Modeling (ERD)</t>
  </si>
  <si>
    <t>태스크</t>
  </si>
  <si>
    <t>상태</t>
  </si>
  <si>
    <t>시작일</t>
  </si>
  <si>
    <t>종료일</t>
  </si>
  <si>
    <t>기간</t>
  </si>
  <si>
    <t>진척률</t>
  </si>
  <si>
    <t>설계</t>
  </si>
  <si>
    <t>메뉴 구조도</t>
  </si>
  <si>
    <t>프로그램 명세서</t>
  </si>
  <si>
    <r>
      <rPr>
        <sz val="11"/>
        <rFont val="Malgun Gothic"/>
        <family val="3"/>
        <charset val="129"/>
      </rPr>
      <t xml:space="preserve">DB </t>
    </r>
    <r>
      <rPr>
        <sz val="11"/>
        <rFont val="Noto Sans CJK SC"/>
        <family val="2"/>
      </rPr>
      <t>설계</t>
    </r>
    <r>
      <rPr>
        <sz val="11"/>
        <rFont val="Malgun Gothic"/>
        <family val="3"/>
        <charset val="129"/>
      </rPr>
      <t>(ERD)</t>
    </r>
  </si>
  <si>
    <t>논리 ERD 작성</t>
  </si>
  <si>
    <t>물리 ERD 작성</t>
  </si>
  <si>
    <t>테이블/컬렉션 명세서</t>
  </si>
  <si>
    <r>
      <rPr>
        <sz val="11"/>
        <rFont val="Malgun Gothic"/>
        <family val="3"/>
        <charset val="129"/>
      </rPr>
      <t xml:space="preserve">DB </t>
    </r>
    <r>
      <rPr>
        <sz val="11"/>
        <rFont val="Noto Sans CJK SC"/>
        <family val="2"/>
      </rPr>
      <t>구현</t>
    </r>
  </si>
  <si>
    <t>화면 설계서</t>
  </si>
  <si>
    <t>개발환경 세팅</t>
  </si>
  <si>
    <r>
      <rPr>
        <sz val="11"/>
        <rFont val="Malgun Gothic"/>
        <family val="3"/>
        <charset val="129"/>
      </rPr>
      <t xml:space="preserve">MariaDB </t>
    </r>
    <r>
      <rPr>
        <sz val="11"/>
        <rFont val="Noto Sans CJK SC"/>
        <family val="2"/>
      </rPr>
      <t>세팅</t>
    </r>
  </si>
  <si>
    <r>
      <rPr>
        <sz val="11"/>
        <rFont val="Malgun Gothic"/>
        <family val="3"/>
        <charset val="129"/>
      </rPr>
      <t xml:space="preserve">MongoDB </t>
    </r>
    <r>
      <rPr>
        <sz val="11"/>
        <rFont val="Noto Sans CJK SC"/>
        <family val="2"/>
      </rPr>
      <t>세팅</t>
    </r>
  </si>
  <si>
    <t>구현 (소프트웨어 개발)</t>
  </si>
  <si>
    <t>회원관리</t>
  </si>
  <si>
    <t>뉴스 피드</t>
  </si>
  <si>
    <r>
      <rPr>
        <sz val="11"/>
        <rFont val="Malgun Gothic"/>
        <family val="3"/>
        <charset val="129"/>
      </rPr>
      <t xml:space="preserve">Naver </t>
    </r>
    <r>
      <rPr>
        <sz val="11"/>
        <rFont val="Noto Sans CJK SC"/>
        <family val="2"/>
      </rPr>
      <t xml:space="preserve">뉴스 </t>
    </r>
    <r>
      <rPr>
        <sz val="11"/>
        <rFont val="Malgun Gothic"/>
        <family val="3"/>
        <charset val="129"/>
      </rPr>
      <t xml:space="preserve">API </t>
    </r>
    <r>
      <rPr>
        <sz val="11"/>
        <rFont val="Noto Sans CJK SC"/>
        <family val="2"/>
      </rPr>
      <t>비동기 호출</t>
    </r>
  </si>
  <si>
    <t>실시간 알림 (Redis Pub/Sub)</t>
  </si>
  <si>
    <r>
      <rPr>
        <sz val="11"/>
        <rFont val="Malgun Gothic"/>
        <family val="3"/>
        <charset val="129"/>
      </rPr>
      <t xml:space="preserve">NewsCreatedEvent </t>
    </r>
    <r>
      <rPr>
        <sz val="11"/>
        <rFont val="Noto Sans CJK SC"/>
        <family val="2"/>
      </rPr>
      <t>발행</t>
    </r>
  </si>
  <si>
    <r>
      <rPr>
        <sz val="11"/>
        <rFont val="Malgun Gothic"/>
        <family val="3"/>
        <charset val="129"/>
      </rPr>
      <t xml:space="preserve">@Scheduled + @Async </t>
    </r>
    <r>
      <rPr>
        <sz val="11"/>
        <rFont val="Noto Sans CJK SC"/>
        <family val="2"/>
      </rPr>
      <t>자동 수집</t>
    </r>
  </si>
  <si>
    <t>협업 워크스페이스</t>
  </si>
  <si>
    <r>
      <rPr>
        <sz val="11"/>
        <rFont val="Malgun Gothic"/>
        <family val="3"/>
        <charset val="129"/>
      </rPr>
      <t xml:space="preserve">WebSocket + STOMP </t>
    </r>
    <r>
      <rPr>
        <sz val="11"/>
        <rFont val="Noto Sans CJK SC"/>
        <family val="2"/>
      </rPr>
      <t>연결</t>
    </r>
  </si>
  <si>
    <t>초안 공동 작성</t>
  </si>
  <si>
    <t>변경 이력 조회</t>
  </si>
  <si>
    <r>
      <rPr>
        <sz val="11"/>
        <rFont val="Malgun Gothic"/>
        <family val="3"/>
        <charset val="129"/>
      </rPr>
      <t xml:space="preserve">Quill.js </t>
    </r>
    <r>
      <rPr>
        <sz val="11"/>
        <rFont val="Noto Sans CJK SC"/>
        <family val="2"/>
      </rPr>
      <t>에디터 연동</t>
    </r>
  </si>
  <si>
    <t>버전 관리</t>
  </si>
  <si>
    <r>
      <rPr>
        <sz val="11"/>
        <rFont val="Malgun Gothic"/>
        <family val="3"/>
        <charset val="129"/>
      </rPr>
      <t xml:space="preserve">DRAFT_SNAPSHOT </t>
    </r>
    <r>
      <rPr>
        <sz val="11"/>
        <rFont val="Noto Sans CJK SC"/>
        <family val="2"/>
      </rPr>
      <t xml:space="preserve">자동저장 </t>
    </r>
    <r>
      <rPr>
        <sz val="11"/>
        <rFont val="Malgun Gothic"/>
        <family val="3"/>
        <charset val="129"/>
      </rPr>
      <t xml:space="preserve">upsert </t>
    </r>
    <r>
      <rPr>
        <sz val="11"/>
        <rFont val="Noto Sans CJK SC"/>
        <family val="2"/>
      </rPr>
      <t>구현</t>
    </r>
  </si>
  <si>
    <r>
      <rPr>
        <sz val="11"/>
        <rFont val="Malgun Gothic"/>
        <family val="3"/>
        <charset val="129"/>
      </rPr>
      <t xml:space="preserve">DRAFT_VERSION </t>
    </r>
    <r>
      <rPr>
        <sz val="11"/>
        <rFont val="Noto Sans CJK SC"/>
        <family val="2"/>
      </rPr>
      <t>수동저장 버전 생성 구현</t>
    </r>
  </si>
  <si>
    <r>
      <rPr>
        <sz val="11"/>
        <rFont val="Noto Sans CJK SC"/>
        <family val="2"/>
      </rPr>
      <t xml:space="preserve">버전 복구 </t>
    </r>
    <r>
      <rPr>
        <sz val="11"/>
        <rFont val="Malgun Gothic"/>
        <family val="3"/>
        <charset val="129"/>
      </rPr>
      <t>(</t>
    </r>
    <r>
      <rPr>
        <sz val="11"/>
        <rFont val="Noto Sans CJK SC"/>
        <family val="2"/>
      </rPr>
      <t>이전 버전 재저장</t>
    </r>
    <r>
      <rPr>
        <sz val="11"/>
        <rFont val="Malgun Gothic"/>
        <family val="3"/>
        <charset val="129"/>
      </rPr>
      <t xml:space="preserve">) </t>
    </r>
    <r>
      <rPr>
        <sz val="11"/>
        <rFont val="Noto Sans CJK SC"/>
        <family val="2"/>
      </rPr>
      <t>구현</t>
    </r>
  </si>
  <si>
    <t>알림 시스템</t>
  </si>
  <si>
    <r>
      <rPr>
        <sz val="11"/>
        <rFont val="Malgun Gothic"/>
        <family val="3"/>
        <charset val="129"/>
      </rPr>
      <t xml:space="preserve">SSE </t>
    </r>
    <r>
      <rPr>
        <sz val="11"/>
        <rFont val="Noto Sans CJK SC"/>
        <family val="2"/>
      </rPr>
      <t>연결 및 실시간 인앱 알림 구현</t>
    </r>
  </si>
  <si>
    <r>
      <rPr>
        <sz val="11"/>
        <rFont val="Malgun Gothic"/>
        <family val="3"/>
        <charset val="129"/>
      </rPr>
      <t xml:space="preserve">Web Push (VAPID) </t>
    </r>
    <r>
      <rPr>
        <sz val="11"/>
        <rFont val="Noto Sans CJK SC"/>
        <family val="2"/>
      </rPr>
      <t>구독 등록 구현</t>
    </r>
  </si>
  <si>
    <r>
      <rPr>
        <sz val="11"/>
        <rFont val="Malgun Gothic"/>
        <family val="3"/>
        <charset val="129"/>
      </rPr>
      <t xml:space="preserve">SSE/Web Push </t>
    </r>
    <r>
      <rPr>
        <sz val="11"/>
        <rFont val="Noto Sans CJK SC"/>
        <family val="2"/>
      </rPr>
      <t>자동 분기 로직 구현</t>
    </r>
  </si>
  <si>
    <t>구독 키워드 관리</t>
  </si>
  <si>
    <t>회원정보 수정</t>
  </si>
  <si>
    <t>로그아웃</t>
  </si>
  <si>
    <r>
      <rPr>
        <sz val="11"/>
        <rFont val="Noto Sans CJK SC"/>
        <family val="2"/>
      </rPr>
      <t xml:space="preserve">키워드 관리 </t>
    </r>
    <r>
      <rPr>
        <sz val="11"/>
        <rFont val="Malgun Gothic"/>
        <family val="3"/>
        <charset val="129"/>
      </rPr>
      <t>(</t>
    </r>
    <r>
      <rPr>
        <sz val="11"/>
        <rFont val="Noto Sans CJK SC"/>
        <family val="2"/>
      </rPr>
      <t>추가</t>
    </r>
    <r>
      <rPr>
        <sz val="11"/>
        <rFont val="Malgun Gothic"/>
        <family val="3"/>
        <charset val="129"/>
      </rPr>
      <t>/</t>
    </r>
    <r>
      <rPr>
        <sz val="11"/>
        <rFont val="Noto Sans CJK SC"/>
        <family val="2"/>
      </rPr>
      <t>삭제</t>
    </r>
    <r>
      <rPr>
        <sz val="11"/>
        <rFont val="Malgun Gothic"/>
        <family val="3"/>
        <charset val="129"/>
      </rPr>
      <t>)</t>
    </r>
  </si>
  <si>
    <t>비밀번호 변경 기능 구현</t>
  </si>
  <si>
    <t>프로그램 점검</t>
  </si>
  <si>
    <t>배포 및 테스트</t>
  </si>
  <si>
    <t>유지보수</t>
  </si>
  <si>
    <r>
      <t xml:space="preserve">Spring Boot </t>
    </r>
    <r>
      <rPr>
        <sz val="11"/>
        <rFont val="돋움"/>
        <family val="3"/>
        <charset val="129"/>
      </rPr>
      <t>세팅</t>
    </r>
    <phoneticPr fontId="24" type="noConversion"/>
  </si>
  <si>
    <t>로그인</t>
    <phoneticPr fontId="24" type="noConversion"/>
  </si>
  <si>
    <t>Finished</t>
  </si>
  <si>
    <t>In Progress</t>
  </si>
  <si>
    <t>Not Started</t>
  </si>
  <si>
    <r>
      <t xml:space="preserve">OT(Operational Transform) </t>
    </r>
    <r>
      <rPr>
        <sz val="11"/>
        <rFont val="돋움"/>
        <family val="3"/>
        <charset val="129"/>
      </rPr>
      <t>구현</t>
    </r>
    <phoneticPr fontId="24" type="noConversion"/>
  </si>
  <si>
    <t>최강현</t>
    <phoneticPr fontId="24" type="noConversion"/>
  </si>
  <si>
    <t>최강현</t>
    <phoneticPr fontId="24" type="noConversion"/>
  </si>
  <si>
    <t>최강현</t>
    <phoneticPr fontId="24" type="noConversion"/>
  </si>
  <si>
    <t>최강현</t>
    <phoneticPr fontId="24" type="noConversion"/>
  </si>
  <si>
    <t>최강현</t>
    <phoneticPr fontId="24" type="noConversion"/>
  </si>
  <si>
    <t xml:space="preserve">Geek 뉴스 RSS 스크랩 </t>
    <phoneticPr fontId="24" type="noConversion"/>
  </si>
  <si>
    <t>Finished</t>
    <phoneticPr fontId="24" type="noConversion"/>
  </si>
  <si>
    <t>커서 공유</t>
    <phoneticPr fontId="24" type="noConversion"/>
  </si>
  <si>
    <r>
      <t xml:space="preserve">DELTA_LOG </t>
    </r>
    <r>
      <rPr>
        <sz val="11"/>
        <rFont val="돋움"/>
        <family val="3"/>
        <charset val="129"/>
      </rPr>
      <t>저장</t>
    </r>
    <r>
      <rPr>
        <sz val="11"/>
        <rFont val="Noto Sans CJK SC"/>
        <family val="2"/>
      </rPr>
      <t xml:space="preserve"> </t>
    </r>
    <r>
      <rPr>
        <sz val="11"/>
        <rFont val="돋움"/>
        <family val="3"/>
        <charset val="129"/>
      </rPr>
      <t>및</t>
    </r>
    <r>
      <rPr>
        <sz val="11"/>
        <rFont val="Noto Sans CJK SC"/>
        <family val="2"/>
      </rPr>
      <t xml:space="preserve"> </t>
    </r>
    <r>
      <rPr>
        <sz val="11"/>
        <rFont val="돋움"/>
        <family val="3"/>
        <charset val="129"/>
      </rPr>
      <t>충돌</t>
    </r>
    <r>
      <rPr>
        <sz val="11"/>
        <rFont val="Noto Sans CJK SC"/>
        <family val="2"/>
      </rPr>
      <t xml:space="preserve"> </t>
    </r>
    <r>
      <rPr>
        <sz val="11"/>
        <rFont val="돋움"/>
        <family val="3"/>
        <charset val="129"/>
      </rPr>
      <t>해결</t>
    </r>
    <phoneticPr fontId="24" type="noConversion"/>
  </si>
  <si>
    <t>뉴스기사 개인 스크랩</t>
    <phoneticPr fontId="24" type="noConversion"/>
  </si>
  <si>
    <r>
      <rPr>
        <sz val="11"/>
        <rFont val="돋움"/>
        <family val="3"/>
        <charset val="129"/>
      </rPr>
      <t>워크스페이스</t>
    </r>
    <r>
      <rPr>
        <sz val="11"/>
        <rFont val="Noto Sans CJK SC"/>
        <family val="2"/>
        <charset val="1"/>
      </rPr>
      <t xml:space="preserve"> </t>
    </r>
    <r>
      <rPr>
        <sz val="11"/>
        <rFont val="돋움"/>
        <family val="3"/>
        <charset val="129"/>
      </rPr>
      <t>생성</t>
    </r>
    <phoneticPr fontId="24" type="noConversion"/>
  </si>
  <si>
    <r>
      <rPr>
        <sz val="11"/>
        <rFont val="돋움"/>
        <family val="3"/>
        <charset val="129"/>
      </rPr>
      <t>워크스페이스</t>
    </r>
    <r>
      <rPr>
        <sz val="11"/>
        <rFont val="Noto Sans CJK SC"/>
        <family val="2"/>
        <charset val="1"/>
      </rPr>
      <t xml:space="preserve"> </t>
    </r>
    <r>
      <rPr>
        <sz val="11"/>
        <rFont val="돋움"/>
        <family val="3"/>
        <charset val="129"/>
      </rPr>
      <t>초대</t>
    </r>
    <phoneticPr fontId="24" type="noConversion"/>
  </si>
  <si>
    <r>
      <rPr>
        <sz val="11"/>
        <rFont val="돋움"/>
        <family val="3"/>
        <charset val="129"/>
      </rPr>
      <t>워크스페이스</t>
    </r>
    <r>
      <rPr>
        <sz val="11"/>
        <rFont val="Noto Sans CJK SC"/>
        <family val="2"/>
        <charset val="1"/>
      </rPr>
      <t xml:space="preserve"> </t>
    </r>
    <r>
      <rPr>
        <sz val="11"/>
        <rFont val="돋움"/>
        <family val="3"/>
        <charset val="129"/>
      </rPr>
      <t>삭제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</si>
</sst>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6">
    <font>
      <sz val="11"/>
      <color theme="1"/>
      <name val="Calibri"/>
      <family val="2"/>
      <charset val="1"/>
    </font>
    <font>
      <b/>
      <sz val="13"/>
      <name val="Noto Sans CJK SC"/>
      <family val="2"/>
      <charset val="1"/>
    </font>
    <font>
      <b/>
      <sz val="11"/>
      <name val="Noto Sans CJK SC"/>
      <family val="2"/>
      <charset val="1"/>
    </font>
    <font>
      <b/>
      <sz val="11"/>
      <name val="Malgun Gothic"/>
      <family val="3"/>
      <charset val="129"/>
    </font>
    <font>
      <b/>
      <sz val="11"/>
      <name val="Noto Sans CJK SC"/>
      <family val="2"/>
    </font>
    <font>
      <sz val="11"/>
      <name val="Malgun Gothic"/>
      <family val="3"/>
      <charset val="129"/>
    </font>
    <font>
      <sz val="11"/>
      <name val="Noto Sans CJK SC"/>
      <family val="2"/>
      <charset val="1"/>
    </font>
    <font>
      <sz val="11"/>
      <name val="Noto Sans CJK SC"/>
      <family val="2"/>
    </font>
    <font>
      <b/>
      <sz val="13"/>
      <name val="Noto Sans CJK SC"/>
      <family val="2"/>
    </font>
    <font>
      <i/>
      <sz val="9"/>
      <color rgb="FF1F4E79"/>
      <name val="Malgun Gothic"/>
      <family val="3"/>
      <charset val="129"/>
    </font>
    <font>
      <i/>
      <sz val="9"/>
      <color rgb="FF1F4E79"/>
      <name val="Noto Sans CJK SC"/>
      <family val="2"/>
    </font>
    <font>
      <b/>
      <sz val="10"/>
      <name val="Malgun Gothic"/>
      <family val="3"/>
      <charset val="129"/>
    </font>
    <font>
      <b/>
      <sz val="10"/>
      <name val="Noto Sans CJK SC"/>
      <family val="2"/>
      <charset val="1"/>
    </font>
    <font>
      <b/>
      <sz val="10"/>
      <color rgb="FF000000"/>
      <name val="Malgun Gothic"/>
      <family val="3"/>
      <charset val="129"/>
    </font>
    <font>
      <b/>
      <sz val="10"/>
      <color rgb="FF000000"/>
      <name val="Noto Sans CJK SC"/>
      <family val="2"/>
      <charset val="1"/>
    </font>
    <font>
      <sz val="10"/>
      <color rgb="FF000000"/>
      <name val="Malgun Gothic"/>
      <family val="3"/>
      <charset val="129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/>
      <sz val="12"/>
      <name val="Noto Sans CJK SC"/>
      <family val="2"/>
      <charset val="1"/>
    </font>
    <font>
      <b/>
      <sz val="11"/>
      <color rgb="FF000000"/>
      <name val="Malgun Gothic"/>
      <family val="3"/>
      <charset val="129"/>
    </font>
    <font>
      <b/>
      <sz val="11"/>
      <color rgb="FF000000"/>
      <name val="Noto Sans CJK SC"/>
      <family val="2"/>
    </font>
    <font>
      <b/>
      <sz val="11"/>
      <color rgb="FF000000"/>
      <name val="Noto Sans CJK SC"/>
      <family val="2"/>
      <charset val="1"/>
    </font>
    <font>
      <b/>
      <sz val="14"/>
      <name val="Malgun Gothic"/>
      <family val="3"/>
      <charset val="129"/>
    </font>
    <font>
      <b/>
      <sz val="12"/>
      <color rgb="FF000000"/>
      <name val="Noto Sans CJK SC"/>
      <family val="2"/>
      <charset val="1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6E4F0"/>
      </patternFill>
    </fill>
    <fill>
      <patternFill patternType="solid">
        <fgColor rgb="FFBFBFBF"/>
        <bgColor rgb="FFC0C0C0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5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315000</xdr:colOff>
      <xdr:row>42</xdr:row>
      <xdr:rowOff>160560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916200" y="771480"/>
          <a:ext cx="13143240" cy="833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196560</xdr:colOff>
      <xdr:row>42</xdr:row>
      <xdr:rowOff>113040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916200" y="771480"/>
          <a:ext cx="14857560" cy="8285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showGridLines="0" zoomScaleNormal="100" workbookViewId="0">
      <selection activeCell="G25" sqref="G25"/>
    </sheetView>
  </sheetViews>
  <sheetFormatPr defaultColWidth="8.7109375" defaultRowHeight="15"/>
  <cols>
    <col min="1" max="1" width="3.5703125" style="1" customWidth="1"/>
    <col min="2" max="2" width="8" style="1" customWidth="1"/>
    <col min="3" max="4" width="16" style="1" customWidth="1"/>
    <col min="5" max="5" width="40.5703125" style="1" customWidth="1"/>
    <col min="6" max="7" width="9" style="1" customWidth="1"/>
    <col min="8" max="8" width="10" style="1" customWidth="1"/>
    <col min="9" max="9" width="14" style="1" customWidth="1"/>
    <col min="10" max="10" width="28" style="1" customWidth="1"/>
  </cols>
  <sheetData>
    <row r="1" spans="1:25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.75" customHeight="1">
      <c r="A2" s="2"/>
      <c r="B2" s="36" t="s">
        <v>0</v>
      </c>
      <c r="C2" s="36"/>
      <c r="D2" s="36"/>
      <c r="E2" s="36"/>
      <c r="F2" s="36"/>
      <c r="G2" s="36"/>
      <c r="H2" s="36"/>
      <c r="I2" s="36"/>
      <c r="J2" s="3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 customHeight="1">
      <c r="A3" s="2"/>
      <c r="B3" s="36"/>
      <c r="C3" s="36"/>
      <c r="D3" s="36"/>
      <c r="E3" s="36"/>
      <c r="F3" s="36"/>
      <c r="G3" s="36"/>
      <c r="H3" s="36"/>
      <c r="I3" s="36"/>
      <c r="J3" s="3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>
      <c r="A4" s="2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3" t="s">
        <v>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1.75" customHeight="1">
      <c r="A5" s="2"/>
      <c r="B5" s="37" t="s">
        <v>10</v>
      </c>
      <c r="C5" s="38" t="s">
        <v>11</v>
      </c>
      <c r="D5" s="5" t="s">
        <v>12</v>
      </c>
      <c r="E5" s="6" t="s">
        <v>13</v>
      </c>
      <c r="F5" s="7" t="s">
        <v>13</v>
      </c>
      <c r="G5" s="7" t="s">
        <v>13</v>
      </c>
      <c r="H5" s="7" t="s">
        <v>10</v>
      </c>
      <c r="I5" s="7" t="s">
        <v>14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1.75" customHeight="1">
      <c r="A6" s="2"/>
      <c r="B6" s="37"/>
      <c r="C6" s="37"/>
      <c r="D6" s="5" t="s">
        <v>15</v>
      </c>
      <c r="E6" s="6" t="s">
        <v>13</v>
      </c>
      <c r="F6" s="7" t="s">
        <v>13</v>
      </c>
      <c r="G6" s="7" t="s">
        <v>13</v>
      </c>
      <c r="H6" s="7" t="s">
        <v>10</v>
      </c>
      <c r="I6" s="7" t="s">
        <v>14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1.75" customHeight="1">
      <c r="A7" s="2"/>
      <c r="B7" s="37"/>
      <c r="C7" s="37"/>
      <c r="D7" s="5" t="s">
        <v>16</v>
      </c>
      <c r="E7" s="6" t="s">
        <v>13</v>
      </c>
      <c r="F7" s="7" t="s">
        <v>13</v>
      </c>
      <c r="G7" s="7" t="s">
        <v>13</v>
      </c>
      <c r="H7" s="7" t="s">
        <v>10</v>
      </c>
      <c r="I7" s="7" t="s">
        <v>14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1.75" customHeight="1">
      <c r="A8" s="2"/>
      <c r="B8" s="37"/>
      <c r="C8" s="38"/>
      <c r="D8" s="5" t="s">
        <v>17</v>
      </c>
      <c r="E8" s="6" t="s">
        <v>13</v>
      </c>
      <c r="F8" s="7" t="s">
        <v>13</v>
      </c>
      <c r="G8" s="7" t="s">
        <v>13</v>
      </c>
      <c r="H8" s="7" t="s">
        <v>10</v>
      </c>
      <c r="I8" s="7" t="s">
        <v>14</v>
      </c>
      <c r="J8" s="6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1.75" customHeight="1">
      <c r="A9" s="2"/>
      <c r="B9" s="37"/>
      <c r="C9" s="38" t="s">
        <v>18</v>
      </c>
      <c r="D9" s="5" t="s">
        <v>19</v>
      </c>
      <c r="E9" s="8" t="s">
        <v>20</v>
      </c>
      <c r="F9" s="7" t="s">
        <v>13</v>
      </c>
      <c r="G9" s="7" t="s">
        <v>13</v>
      </c>
      <c r="H9" s="7" t="s">
        <v>21</v>
      </c>
      <c r="I9" s="7" t="s">
        <v>14</v>
      </c>
      <c r="J9" s="8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1.75" customHeight="1">
      <c r="A10" s="2"/>
      <c r="B10" s="37"/>
      <c r="C10" s="38"/>
      <c r="D10" s="5" t="s">
        <v>23</v>
      </c>
      <c r="E10" s="8" t="s">
        <v>24</v>
      </c>
      <c r="F10" s="7" t="s">
        <v>13</v>
      </c>
      <c r="G10" s="7" t="s">
        <v>13</v>
      </c>
      <c r="H10" s="7" t="s">
        <v>21</v>
      </c>
      <c r="I10" s="7" t="s">
        <v>14</v>
      </c>
      <c r="J10" s="6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1.75" customHeight="1">
      <c r="A11" s="2"/>
      <c r="B11" s="37"/>
      <c r="C11" s="38" t="s">
        <v>25</v>
      </c>
      <c r="D11" s="5" t="s">
        <v>26</v>
      </c>
      <c r="E11" s="8" t="s">
        <v>27</v>
      </c>
      <c r="F11" s="7" t="s">
        <v>13</v>
      </c>
      <c r="G11" s="7" t="s">
        <v>13</v>
      </c>
      <c r="H11" s="7" t="s">
        <v>21</v>
      </c>
      <c r="I11" s="7" t="s">
        <v>14</v>
      </c>
      <c r="J11" s="6" t="s">
        <v>28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1.75" customHeight="1">
      <c r="A12" s="2"/>
      <c r="B12" s="37"/>
      <c r="C12" s="37"/>
      <c r="D12" s="5" t="s">
        <v>29</v>
      </c>
      <c r="E12" s="8" t="s">
        <v>30</v>
      </c>
      <c r="F12" s="7" t="s">
        <v>13</v>
      </c>
      <c r="G12" s="7" t="s">
        <v>13</v>
      </c>
      <c r="H12" s="7" t="s">
        <v>21</v>
      </c>
      <c r="I12" s="7" t="s">
        <v>14</v>
      </c>
      <c r="J12" s="6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1.75" customHeight="1">
      <c r="A13" s="2"/>
      <c r="B13" s="37"/>
      <c r="C13" s="38"/>
      <c r="D13" s="5" t="s">
        <v>31</v>
      </c>
      <c r="E13" s="8" t="s">
        <v>32</v>
      </c>
      <c r="F13" s="7" t="s">
        <v>13</v>
      </c>
      <c r="G13" s="7" t="s">
        <v>13</v>
      </c>
      <c r="H13" s="7" t="s">
        <v>21</v>
      </c>
      <c r="I13" s="7" t="s">
        <v>14</v>
      </c>
      <c r="J13" s="6" t="s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1.75" customHeight="1">
      <c r="A14" s="2"/>
      <c r="B14" s="37"/>
      <c r="C14" s="38" t="s">
        <v>33</v>
      </c>
      <c r="D14" s="5" t="s">
        <v>34</v>
      </c>
      <c r="E14" s="8" t="s">
        <v>35</v>
      </c>
      <c r="F14" s="7" t="s">
        <v>13</v>
      </c>
      <c r="G14" s="7" t="s">
        <v>13</v>
      </c>
      <c r="H14" s="7" t="s">
        <v>21</v>
      </c>
      <c r="I14" s="7" t="s">
        <v>14</v>
      </c>
      <c r="J14" s="6" t="s">
        <v>36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1.75" customHeight="1">
      <c r="A15" s="2"/>
      <c r="B15" s="37"/>
      <c r="C15" s="37"/>
      <c r="D15" s="5" t="s">
        <v>37</v>
      </c>
      <c r="E15" s="8" t="s">
        <v>38</v>
      </c>
      <c r="F15" s="7" t="s">
        <v>13</v>
      </c>
      <c r="G15" s="7" t="s">
        <v>13</v>
      </c>
      <c r="H15" s="7" t="s">
        <v>21</v>
      </c>
      <c r="I15" s="7" t="s">
        <v>14</v>
      </c>
      <c r="J15" s="6" t="s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1.75" customHeight="1">
      <c r="A16" s="2"/>
      <c r="B16" s="37"/>
      <c r="C16" s="37"/>
      <c r="D16" s="5" t="s">
        <v>39</v>
      </c>
      <c r="E16" s="8" t="s">
        <v>40</v>
      </c>
      <c r="F16" s="7" t="s">
        <v>13</v>
      </c>
      <c r="G16" s="7" t="s">
        <v>13</v>
      </c>
      <c r="H16" s="7" t="s">
        <v>21</v>
      </c>
      <c r="I16" s="7" t="s">
        <v>14</v>
      </c>
      <c r="J16" s="6" t="s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1.75" customHeight="1">
      <c r="A17" s="2"/>
      <c r="B17" s="37"/>
      <c r="C17" s="38"/>
      <c r="D17" s="5" t="s">
        <v>41</v>
      </c>
      <c r="E17" s="8" t="s">
        <v>42</v>
      </c>
      <c r="F17" s="7" t="s">
        <v>13</v>
      </c>
      <c r="G17" s="7" t="s">
        <v>13</v>
      </c>
      <c r="H17" s="7" t="s">
        <v>21</v>
      </c>
      <c r="I17" s="7" t="s">
        <v>14</v>
      </c>
      <c r="J17" s="6" t="s">
        <v>43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1.75" customHeight="1">
      <c r="A18" s="2"/>
      <c r="B18" s="37"/>
      <c r="C18" s="38" t="s">
        <v>44</v>
      </c>
      <c r="D18" s="5" t="s">
        <v>45</v>
      </c>
      <c r="E18" s="8" t="s">
        <v>46</v>
      </c>
      <c r="F18" s="7" t="s">
        <v>13</v>
      </c>
      <c r="G18" s="7" t="s">
        <v>13</v>
      </c>
      <c r="H18" s="7" t="s">
        <v>21</v>
      </c>
      <c r="I18" s="7" t="s">
        <v>14</v>
      </c>
      <c r="J18" s="6" t="s">
        <v>47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1.75" customHeight="1">
      <c r="A19" s="2"/>
      <c r="B19" s="37"/>
      <c r="C19" s="38"/>
      <c r="D19" s="5" t="s">
        <v>48</v>
      </c>
      <c r="E19" s="8" t="s">
        <v>49</v>
      </c>
      <c r="F19" s="7" t="s">
        <v>13</v>
      </c>
      <c r="G19" s="7" t="s">
        <v>13</v>
      </c>
      <c r="H19" s="7" t="s">
        <v>21</v>
      </c>
      <c r="I19" s="7" t="s">
        <v>14</v>
      </c>
      <c r="J19" s="6" t="s">
        <v>13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1.75" customHeight="1">
      <c r="A20" s="2"/>
      <c r="B20" s="37"/>
      <c r="C20" s="38" t="s">
        <v>50</v>
      </c>
      <c r="D20" s="5" t="s">
        <v>51</v>
      </c>
      <c r="E20" s="8" t="s">
        <v>52</v>
      </c>
      <c r="F20" s="7" t="s">
        <v>13</v>
      </c>
      <c r="G20" s="7" t="s">
        <v>13</v>
      </c>
      <c r="H20" s="7" t="s">
        <v>21</v>
      </c>
      <c r="I20" s="7" t="s">
        <v>14</v>
      </c>
      <c r="J20" s="6" t="s">
        <v>13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1.75" customHeight="1">
      <c r="A21" s="2"/>
      <c r="B21" s="37"/>
      <c r="C21" s="38"/>
      <c r="D21" s="5" t="s">
        <v>53</v>
      </c>
      <c r="E21" s="8" t="s">
        <v>54</v>
      </c>
      <c r="F21" s="7" t="s">
        <v>13</v>
      </c>
      <c r="G21" s="7" t="s">
        <v>13</v>
      </c>
      <c r="H21" s="7" t="s">
        <v>21</v>
      </c>
      <c r="I21" s="7" t="s">
        <v>14</v>
      </c>
      <c r="J21" s="6" t="s">
        <v>13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</sheetData>
  <mergeCells count="8">
    <mergeCell ref="B2:J3"/>
    <mergeCell ref="B5:B21"/>
    <mergeCell ref="C5:C8"/>
    <mergeCell ref="C9:C10"/>
    <mergeCell ref="C11:C13"/>
    <mergeCell ref="C14:C17"/>
    <mergeCell ref="C18:C19"/>
    <mergeCell ref="C20:C21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"/>
  <sheetViews>
    <sheetView zoomScaleNormal="100" workbookViewId="0">
      <selection activeCell="E1" sqref="E1:E1048576"/>
    </sheetView>
  </sheetViews>
  <sheetFormatPr defaultColWidth="8.7109375" defaultRowHeight="15"/>
  <cols>
    <col min="1" max="1" width="3.5703125" customWidth="1"/>
    <col min="2" max="2" width="4" customWidth="1"/>
    <col min="3" max="3" width="16" customWidth="1"/>
    <col min="4" max="4" width="26.140625" customWidth="1"/>
    <col min="5" max="5" width="44" customWidth="1"/>
    <col min="6" max="7" width="9" customWidth="1"/>
    <col min="8" max="8" width="24" customWidth="1"/>
    <col min="9" max="10" width="16" customWidth="1"/>
    <col min="11" max="12" width="9" customWidth="1"/>
  </cols>
  <sheetData>
    <row r="2" spans="2:12" ht="21.75" customHeight="1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2">
      <c r="B3" s="40" t="s">
        <v>55</v>
      </c>
      <c r="C3" s="41" t="s">
        <v>56</v>
      </c>
      <c r="D3" s="41"/>
      <c r="E3" s="41"/>
      <c r="F3" s="41"/>
      <c r="G3" s="41"/>
      <c r="H3" s="41" t="s">
        <v>57</v>
      </c>
      <c r="I3" s="40" t="s">
        <v>58</v>
      </c>
      <c r="J3" s="41" t="s">
        <v>59</v>
      </c>
      <c r="K3" s="41" t="s">
        <v>60</v>
      </c>
      <c r="L3" s="41" t="s">
        <v>1</v>
      </c>
    </row>
    <row r="4" spans="2:12" ht="16.5">
      <c r="B4" s="40"/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41"/>
      <c r="I4" s="41"/>
      <c r="J4" s="41"/>
      <c r="K4" s="41"/>
      <c r="L4" s="41"/>
    </row>
    <row r="5" spans="2:12" ht="19.5" customHeight="1">
      <c r="B5" s="6">
        <v>1</v>
      </c>
      <c r="C5" s="42" t="s">
        <v>66</v>
      </c>
      <c r="D5" s="10" t="s">
        <v>12</v>
      </c>
      <c r="E5" s="6" t="s">
        <v>13</v>
      </c>
      <c r="F5" s="6" t="s">
        <v>13</v>
      </c>
      <c r="G5" s="6" t="s">
        <v>13</v>
      </c>
      <c r="H5" s="10" t="s">
        <v>12</v>
      </c>
      <c r="I5" s="11" t="s">
        <v>67</v>
      </c>
      <c r="J5" s="6" t="s">
        <v>68</v>
      </c>
      <c r="K5" s="10" t="s">
        <v>69</v>
      </c>
      <c r="L5" s="10" t="s">
        <v>0</v>
      </c>
    </row>
    <row r="6" spans="2:12" ht="19.5" customHeight="1">
      <c r="B6" s="6">
        <v>2</v>
      </c>
      <c r="C6" s="42"/>
      <c r="D6" s="10" t="s">
        <v>15</v>
      </c>
      <c r="E6" s="6" t="s">
        <v>13</v>
      </c>
      <c r="F6" s="6" t="s">
        <v>13</v>
      </c>
      <c r="G6" s="6" t="s">
        <v>13</v>
      </c>
      <c r="H6" s="10" t="s">
        <v>15</v>
      </c>
      <c r="I6" s="11" t="s">
        <v>70</v>
      </c>
      <c r="J6" s="6" t="s">
        <v>71</v>
      </c>
      <c r="K6" s="10" t="s">
        <v>69</v>
      </c>
      <c r="L6" s="10" t="s">
        <v>0</v>
      </c>
    </row>
    <row r="7" spans="2:12" ht="19.5" customHeight="1">
      <c r="B7" s="6">
        <v>3</v>
      </c>
      <c r="C7" s="42"/>
      <c r="D7" s="10" t="s">
        <v>16</v>
      </c>
      <c r="E7" s="6" t="s">
        <v>13</v>
      </c>
      <c r="F7" s="6" t="s">
        <v>13</v>
      </c>
      <c r="G7" s="6" t="s">
        <v>13</v>
      </c>
      <c r="H7" s="10" t="s">
        <v>16</v>
      </c>
      <c r="I7" s="11" t="s">
        <v>67</v>
      </c>
      <c r="J7" s="6" t="s">
        <v>72</v>
      </c>
      <c r="K7" s="10" t="s">
        <v>69</v>
      </c>
      <c r="L7" s="10" t="s">
        <v>0</v>
      </c>
    </row>
    <row r="8" spans="2:12" ht="19.5" customHeight="1">
      <c r="B8" s="6">
        <v>4</v>
      </c>
      <c r="C8" s="42"/>
      <c r="D8" s="10" t="s">
        <v>17</v>
      </c>
      <c r="E8" s="6" t="s">
        <v>13</v>
      </c>
      <c r="F8" s="6" t="s">
        <v>13</v>
      </c>
      <c r="G8" s="6" t="s">
        <v>13</v>
      </c>
      <c r="H8" s="10" t="s">
        <v>17</v>
      </c>
      <c r="I8" s="11" t="s">
        <v>73</v>
      </c>
      <c r="J8" s="6" t="s">
        <v>74</v>
      </c>
      <c r="K8" s="10" t="s">
        <v>69</v>
      </c>
      <c r="L8" s="10" t="s">
        <v>0</v>
      </c>
    </row>
    <row r="9" spans="2:12" ht="19.5" customHeight="1">
      <c r="B9" s="6">
        <v>5</v>
      </c>
      <c r="C9" s="42" t="s">
        <v>18</v>
      </c>
      <c r="D9" s="10" t="s">
        <v>19</v>
      </c>
      <c r="E9" s="10" t="s">
        <v>75</v>
      </c>
      <c r="F9" s="6" t="s">
        <v>13</v>
      </c>
      <c r="G9" s="6" t="s">
        <v>13</v>
      </c>
      <c r="H9" s="10" t="s">
        <v>19</v>
      </c>
      <c r="I9" s="11" t="s">
        <v>67</v>
      </c>
      <c r="J9" s="6" t="s">
        <v>76</v>
      </c>
      <c r="K9" s="10" t="s">
        <v>69</v>
      </c>
      <c r="L9" s="10" t="s">
        <v>0</v>
      </c>
    </row>
    <row r="10" spans="2:12" ht="19.5" customHeight="1">
      <c r="B10" s="6">
        <v>6</v>
      </c>
      <c r="C10" s="42"/>
      <c r="D10" s="10" t="s">
        <v>23</v>
      </c>
      <c r="E10" s="10" t="s">
        <v>77</v>
      </c>
      <c r="F10" s="6" t="s">
        <v>13</v>
      </c>
      <c r="G10" s="6" t="s">
        <v>13</v>
      </c>
      <c r="H10" s="10" t="s">
        <v>23</v>
      </c>
      <c r="I10" s="11" t="s">
        <v>67</v>
      </c>
      <c r="J10" s="6" t="s">
        <v>78</v>
      </c>
      <c r="K10" s="10" t="s">
        <v>69</v>
      </c>
      <c r="L10" s="10" t="s">
        <v>0</v>
      </c>
    </row>
    <row r="11" spans="2:12" ht="19.5" customHeight="1">
      <c r="B11" s="6">
        <v>7</v>
      </c>
      <c r="C11" s="42" t="s">
        <v>25</v>
      </c>
      <c r="D11" s="10" t="s">
        <v>26</v>
      </c>
      <c r="E11" s="10" t="s">
        <v>79</v>
      </c>
      <c r="F11" s="6" t="s">
        <v>13</v>
      </c>
      <c r="G11" s="6" t="s">
        <v>13</v>
      </c>
      <c r="H11" s="10" t="s">
        <v>26</v>
      </c>
      <c r="I11" s="11" t="s">
        <v>67</v>
      </c>
      <c r="J11" s="6" t="s">
        <v>80</v>
      </c>
      <c r="K11" s="10" t="s">
        <v>69</v>
      </c>
      <c r="L11" s="10" t="s">
        <v>0</v>
      </c>
    </row>
    <row r="12" spans="2:12" ht="19.5" customHeight="1">
      <c r="B12" s="6">
        <v>8</v>
      </c>
      <c r="C12" s="42"/>
      <c r="D12" s="10" t="s">
        <v>29</v>
      </c>
      <c r="E12" s="10" t="s">
        <v>30</v>
      </c>
      <c r="F12" s="6" t="s">
        <v>13</v>
      </c>
      <c r="G12" s="6" t="s">
        <v>13</v>
      </c>
      <c r="H12" s="10" t="s">
        <v>29</v>
      </c>
      <c r="I12" s="11" t="s">
        <v>67</v>
      </c>
      <c r="J12" s="6" t="s">
        <v>81</v>
      </c>
      <c r="K12" s="10" t="s">
        <v>69</v>
      </c>
      <c r="L12" s="10" t="s">
        <v>0</v>
      </c>
    </row>
    <row r="13" spans="2:12" ht="19.5" customHeight="1">
      <c r="B13" s="6">
        <v>9</v>
      </c>
      <c r="C13" s="42"/>
      <c r="D13" s="10" t="s">
        <v>31</v>
      </c>
      <c r="E13" s="10" t="s">
        <v>82</v>
      </c>
      <c r="F13" s="6" t="s">
        <v>13</v>
      </c>
      <c r="G13" s="6" t="s">
        <v>13</v>
      </c>
      <c r="H13" s="10" t="s">
        <v>31</v>
      </c>
      <c r="I13" s="11" t="s">
        <v>83</v>
      </c>
      <c r="J13" s="6" t="s">
        <v>84</v>
      </c>
      <c r="K13" s="10" t="s">
        <v>69</v>
      </c>
      <c r="L13" s="10" t="s">
        <v>0</v>
      </c>
    </row>
    <row r="14" spans="2:12" ht="19.5" customHeight="1">
      <c r="B14" s="6">
        <v>10</v>
      </c>
      <c r="C14" s="42"/>
      <c r="D14" s="10" t="s">
        <v>85</v>
      </c>
      <c r="E14" s="10" t="s">
        <v>86</v>
      </c>
      <c r="F14" s="6" t="s">
        <v>13</v>
      </c>
      <c r="G14" s="6" t="s">
        <v>13</v>
      </c>
      <c r="H14" s="10" t="s">
        <v>85</v>
      </c>
      <c r="I14" s="11" t="s">
        <v>87</v>
      </c>
      <c r="J14" s="6" t="s">
        <v>88</v>
      </c>
      <c r="K14" s="10" t="s">
        <v>69</v>
      </c>
      <c r="L14" s="10" t="s">
        <v>0</v>
      </c>
    </row>
    <row r="15" spans="2:12" ht="19.5" customHeight="1">
      <c r="B15" s="6">
        <v>11</v>
      </c>
      <c r="C15" s="42" t="s">
        <v>33</v>
      </c>
      <c r="D15" s="10" t="s">
        <v>34</v>
      </c>
      <c r="E15" s="10" t="s">
        <v>89</v>
      </c>
      <c r="F15" s="6" t="s">
        <v>13</v>
      </c>
      <c r="G15" s="6" t="s">
        <v>13</v>
      </c>
      <c r="H15" s="10" t="s">
        <v>34</v>
      </c>
      <c r="I15" s="11" t="s">
        <v>87</v>
      </c>
      <c r="J15" s="6" t="s">
        <v>90</v>
      </c>
      <c r="K15" s="10" t="s">
        <v>69</v>
      </c>
      <c r="L15" s="10" t="s">
        <v>0</v>
      </c>
    </row>
    <row r="16" spans="2:12" ht="19.5" customHeight="1">
      <c r="B16" s="6">
        <v>12</v>
      </c>
      <c r="C16" s="42"/>
      <c r="D16" s="10" t="s">
        <v>91</v>
      </c>
      <c r="E16" s="6" t="s">
        <v>92</v>
      </c>
      <c r="F16" s="6" t="s">
        <v>13</v>
      </c>
      <c r="G16" s="6" t="s">
        <v>13</v>
      </c>
      <c r="H16" s="10" t="s">
        <v>91</v>
      </c>
      <c r="I16" s="11" t="s">
        <v>93</v>
      </c>
      <c r="J16" s="6" t="s">
        <v>94</v>
      </c>
      <c r="K16" s="10" t="s">
        <v>69</v>
      </c>
      <c r="L16" s="10" t="s">
        <v>95</v>
      </c>
    </row>
    <row r="17" spans="2:12" ht="19.5" customHeight="1">
      <c r="B17" s="6">
        <v>13</v>
      </c>
      <c r="C17" s="42"/>
      <c r="D17" s="10" t="s">
        <v>96</v>
      </c>
      <c r="E17" s="10" t="s">
        <v>97</v>
      </c>
      <c r="F17" s="6" t="s">
        <v>13</v>
      </c>
      <c r="G17" s="6" t="s">
        <v>13</v>
      </c>
      <c r="H17" s="10" t="s">
        <v>96</v>
      </c>
      <c r="I17" s="11" t="s">
        <v>70</v>
      </c>
      <c r="J17" s="6" t="s">
        <v>98</v>
      </c>
      <c r="K17" s="10" t="s">
        <v>69</v>
      </c>
      <c r="L17" s="10" t="s">
        <v>0</v>
      </c>
    </row>
    <row r="18" spans="2:12" ht="19.5" customHeight="1">
      <c r="B18" s="6">
        <v>14</v>
      </c>
      <c r="C18" s="42"/>
      <c r="D18" s="10" t="s">
        <v>99</v>
      </c>
      <c r="E18" s="10" t="s">
        <v>100</v>
      </c>
      <c r="F18" s="6" t="s">
        <v>13</v>
      </c>
      <c r="G18" s="6" t="s">
        <v>13</v>
      </c>
      <c r="H18" s="10" t="s">
        <v>99</v>
      </c>
      <c r="I18" s="11" t="s">
        <v>70</v>
      </c>
      <c r="J18" s="6" t="s">
        <v>101</v>
      </c>
      <c r="K18" s="10" t="s">
        <v>69</v>
      </c>
      <c r="L18" s="10" t="s">
        <v>0</v>
      </c>
    </row>
    <row r="19" spans="2:12" ht="19.5" customHeight="1">
      <c r="B19" s="6">
        <v>15</v>
      </c>
      <c r="C19" s="42"/>
      <c r="D19" s="10" t="s">
        <v>37</v>
      </c>
      <c r="E19" s="10" t="s">
        <v>102</v>
      </c>
      <c r="F19" s="6" t="s">
        <v>13</v>
      </c>
      <c r="G19" s="6" t="s">
        <v>13</v>
      </c>
      <c r="H19" s="10" t="s">
        <v>37</v>
      </c>
      <c r="I19" s="11" t="s">
        <v>103</v>
      </c>
      <c r="J19" s="6" t="s">
        <v>104</v>
      </c>
      <c r="K19" s="10" t="s">
        <v>69</v>
      </c>
      <c r="L19" s="10" t="s">
        <v>0</v>
      </c>
    </row>
    <row r="20" spans="2:12" ht="19.5" customHeight="1">
      <c r="B20" s="6">
        <v>16</v>
      </c>
      <c r="C20" s="42"/>
      <c r="D20" s="10" t="s">
        <v>39</v>
      </c>
      <c r="E20" s="10" t="s">
        <v>105</v>
      </c>
      <c r="F20" s="6" t="s">
        <v>13</v>
      </c>
      <c r="G20" s="6" t="s">
        <v>13</v>
      </c>
      <c r="H20" s="10" t="s">
        <v>39</v>
      </c>
      <c r="I20" s="11" t="s">
        <v>13</v>
      </c>
      <c r="J20" s="6" t="s">
        <v>106</v>
      </c>
      <c r="K20" s="10" t="s">
        <v>69</v>
      </c>
      <c r="L20" s="10" t="s">
        <v>0</v>
      </c>
    </row>
    <row r="21" spans="2:12" ht="19.5" customHeight="1">
      <c r="B21" s="6">
        <v>17</v>
      </c>
      <c r="C21" s="42"/>
      <c r="D21" s="10" t="s">
        <v>41</v>
      </c>
      <c r="E21" s="10" t="s">
        <v>107</v>
      </c>
      <c r="F21" s="6" t="s">
        <v>13</v>
      </c>
      <c r="G21" s="6" t="s">
        <v>13</v>
      </c>
      <c r="H21" s="10" t="s">
        <v>41</v>
      </c>
      <c r="I21" s="11" t="s">
        <v>67</v>
      </c>
      <c r="J21" s="6" t="s">
        <v>108</v>
      </c>
      <c r="K21" s="10" t="s">
        <v>69</v>
      </c>
      <c r="L21" s="10" t="s">
        <v>0</v>
      </c>
    </row>
    <row r="22" spans="2:12" ht="19.5" customHeight="1">
      <c r="B22" s="6">
        <v>18</v>
      </c>
      <c r="C22" s="42" t="s">
        <v>44</v>
      </c>
      <c r="D22" s="6" t="s">
        <v>109</v>
      </c>
      <c r="E22" s="10" t="s">
        <v>110</v>
      </c>
      <c r="F22" s="6" t="s">
        <v>13</v>
      </c>
      <c r="G22" s="6" t="s">
        <v>13</v>
      </c>
      <c r="H22" s="6" t="s">
        <v>109</v>
      </c>
      <c r="I22" s="11" t="s">
        <v>13</v>
      </c>
      <c r="J22" s="6" t="s">
        <v>111</v>
      </c>
      <c r="K22" s="10" t="s">
        <v>69</v>
      </c>
      <c r="L22" s="10" t="s">
        <v>95</v>
      </c>
    </row>
    <row r="23" spans="2:12" ht="19.5" customHeight="1">
      <c r="B23" s="6">
        <v>19</v>
      </c>
      <c r="C23" s="42"/>
      <c r="D23" s="6" t="s">
        <v>112</v>
      </c>
      <c r="E23" s="6" t="s">
        <v>113</v>
      </c>
      <c r="F23" s="6" t="s">
        <v>13</v>
      </c>
      <c r="G23" s="6" t="s">
        <v>13</v>
      </c>
      <c r="H23" s="6" t="s">
        <v>112</v>
      </c>
      <c r="I23" s="11" t="s">
        <v>70</v>
      </c>
      <c r="J23" s="6" t="s">
        <v>114</v>
      </c>
      <c r="K23" s="10" t="s">
        <v>69</v>
      </c>
      <c r="L23" s="10" t="s">
        <v>0</v>
      </c>
    </row>
    <row r="24" spans="2:12" ht="19.5" customHeight="1">
      <c r="B24" s="6">
        <v>20</v>
      </c>
      <c r="C24" s="42"/>
      <c r="D24" s="10" t="s">
        <v>45</v>
      </c>
      <c r="E24" s="10" t="s">
        <v>115</v>
      </c>
      <c r="F24" s="6" t="s">
        <v>13</v>
      </c>
      <c r="G24" s="6" t="s">
        <v>13</v>
      </c>
      <c r="H24" s="10" t="s">
        <v>116</v>
      </c>
      <c r="I24" s="11" t="s">
        <v>13</v>
      </c>
      <c r="J24" s="6" t="s">
        <v>117</v>
      </c>
      <c r="K24" s="10" t="s">
        <v>69</v>
      </c>
      <c r="L24" s="10" t="s">
        <v>95</v>
      </c>
    </row>
    <row r="25" spans="2:12" ht="19.5" customHeight="1">
      <c r="B25" s="6">
        <v>21</v>
      </c>
      <c r="C25" s="42"/>
      <c r="D25" s="10" t="s">
        <v>48</v>
      </c>
      <c r="E25" s="10" t="s">
        <v>118</v>
      </c>
      <c r="F25" s="6" t="s">
        <v>13</v>
      </c>
      <c r="G25" s="6" t="s">
        <v>13</v>
      </c>
      <c r="H25" s="10" t="s">
        <v>48</v>
      </c>
      <c r="I25" s="11" t="s">
        <v>13</v>
      </c>
      <c r="J25" s="6" t="s">
        <v>119</v>
      </c>
      <c r="K25" s="10" t="s">
        <v>69</v>
      </c>
      <c r="L25" s="10" t="s">
        <v>95</v>
      </c>
    </row>
    <row r="26" spans="2:12" ht="19.5" customHeight="1">
      <c r="B26" s="6">
        <v>22</v>
      </c>
      <c r="C26" s="42" t="s">
        <v>50</v>
      </c>
      <c r="D26" s="10" t="s">
        <v>51</v>
      </c>
      <c r="E26" s="10" t="s">
        <v>120</v>
      </c>
      <c r="F26" s="6" t="s">
        <v>13</v>
      </c>
      <c r="G26" s="6" t="s">
        <v>13</v>
      </c>
      <c r="H26" s="10" t="s">
        <v>51</v>
      </c>
      <c r="I26" s="11" t="s">
        <v>73</v>
      </c>
      <c r="J26" s="6" t="s">
        <v>121</v>
      </c>
      <c r="K26" s="10" t="s">
        <v>69</v>
      </c>
      <c r="L26" s="10" t="s">
        <v>0</v>
      </c>
    </row>
    <row r="27" spans="2:12" ht="19.5" customHeight="1">
      <c r="B27" s="6">
        <v>23</v>
      </c>
      <c r="C27" s="42"/>
      <c r="D27" s="10" t="s">
        <v>122</v>
      </c>
      <c r="E27" s="10" t="s">
        <v>123</v>
      </c>
      <c r="F27" s="6" t="s">
        <v>13</v>
      </c>
      <c r="G27" s="6" t="s">
        <v>13</v>
      </c>
      <c r="H27" s="10" t="s">
        <v>122</v>
      </c>
      <c r="I27" s="11" t="s">
        <v>83</v>
      </c>
      <c r="J27" s="6" t="s">
        <v>124</v>
      </c>
      <c r="K27" s="10" t="s">
        <v>69</v>
      </c>
      <c r="L27" s="10" t="s">
        <v>0</v>
      </c>
    </row>
    <row r="28" spans="2:12" ht="19.5" customHeight="1">
      <c r="B28" s="6">
        <v>24</v>
      </c>
      <c r="C28" s="42"/>
      <c r="D28" s="10" t="s">
        <v>53</v>
      </c>
      <c r="E28" s="10" t="s">
        <v>125</v>
      </c>
      <c r="F28" s="6" t="s">
        <v>13</v>
      </c>
      <c r="G28" s="6" t="s">
        <v>13</v>
      </c>
      <c r="H28" s="10" t="s">
        <v>53</v>
      </c>
      <c r="I28" s="11" t="s">
        <v>73</v>
      </c>
      <c r="J28" s="6" t="s">
        <v>126</v>
      </c>
      <c r="K28" s="10" t="s">
        <v>69</v>
      </c>
      <c r="L28" s="10" t="s">
        <v>0</v>
      </c>
    </row>
    <row r="29" spans="2:12" ht="19.5" customHeight="1">
      <c r="B29" s="6">
        <v>25</v>
      </c>
      <c r="C29" s="42"/>
      <c r="D29" s="10" t="s">
        <v>127</v>
      </c>
      <c r="E29" s="10" t="s">
        <v>128</v>
      </c>
      <c r="F29" s="6" t="s">
        <v>13</v>
      </c>
      <c r="G29" s="6" t="s">
        <v>13</v>
      </c>
      <c r="H29" s="10" t="s">
        <v>127</v>
      </c>
      <c r="I29" s="11" t="s">
        <v>93</v>
      </c>
      <c r="J29" s="6" t="s">
        <v>129</v>
      </c>
      <c r="K29" s="10" t="s">
        <v>69</v>
      </c>
      <c r="L29" s="10" t="s">
        <v>0</v>
      </c>
    </row>
  </sheetData>
  <mergeCells count="14">
    <mergeCell ref="C26:C29"/>
    <mergeCell ref="C5:C8"/>
    <mergeCell ref="C9:C10"/>
    <mergeCell ref="C11:C14"/>
    <mergeCell ref="C15:C21"/>
    <mergeCell ref="C22:C25"/>
    <mergeCell ref="B2:L2"/>
    <mergeCell ref="B3:B4"/>
    <mergeCell ref="C3:G3"/>
    <mergeCell ref="H3:H4"/>
    <mergeCell ref="I3:I4"/>
    <mergeCell ref="J3:J4"/>
    <mergeCell ref="K3:K4"/>
    <mergeCell ref="L3:L4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opLeftCell="A22" zoomScaleNormal="100" workbookViewId="0"/>
  </sheetViews>
  <sheetFormatPr defaultColWidth="8.7109375" defaultRowHeight="15"/>
  <cols>
    <col min="1" max="1" width="3.5703125" style="1" customWidth="1"/>
    <col min="2" max="2" width="20" style="1" customWidth="1"/>
    <col min="3" max="3" width="18" style="1" customWidth="1"/>
    <col min="4" max="4" width="5" style="1" customWidth="1"/>
    <col min="5" max="5" width="7" style="1" customWidth="1"/>
    <col min="6" max="6" width="20" style="1" customWidth="1"/>
    <col min="7" max="7" width="18" style="1" customWidth="1"/>
    <col min="8" max="8" width="10" style="1" customWidth="1"/>
    <col min="9" max="10" width="9" style="1" customWidth="1"/>
    <col min="11" max="11" width="6" style="1" customWidth="1"/>
    <col min="12" max="12" width="10" style="1" customWidth="1"/>
    <col min="13" max="13" width="8" style="1" customWidth="1"/>
  </cols>
  <sheetData>
    <row r="1" spans="2:13" ht="18" customHeight="1"/>
    <row r="2" spans="2:13" ht="24" customHeight="1">
      <c r="B2" s="43" t="s">
        <v>130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2:13" ht="18" customHeight="1">
      <c r="B3" s="9" t="s">
        <v>131</v>
      </c>
      <c r="C3" s="9" t="s">
        <v>132</v>
      </c>
      <c r="D3" s="9" t="s">
        <v>55</v>
      </c>
      <c r="E3" s="9" t="s">
        <v>133</v>
      </c>
      <c r="F3" s="12" t="s">
        <v>134</v>
      </c>
      <c r="G3" s="12" t="s">
        <v>135</v>
      </c>
      <c r="H3" s="9" t="s">
        <v>136</v>
      </c>
      <c r="I3" s="9" t="s">
        <v>137</v>
      </c>
      <c r="J3" s="9" t="s">
        <v>138</v>
      </c>
      <c r="K3" s="9" t="s">
        <v>139</v>
      </c>
      <c r="L3" s="9" t="s">
        <v>140</v>
      </c>
      <c r="M3" s="9" t="s">
        <v>141</v>
      </c>
    </row>
    <row r="4" spans="2:13" ht="15.75" customHeight="1">
      <c r="B4" s="44" t="s">
        <v>142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2:13" ht="18" customHeight="1">
      <c r="B5" s="45" t="s">
        <v>143</v>
      </c>
      <c r="C5" s="46" t="s">
        <v>144</v>
      </c>
      <c r="D5" s="13">
        <v>1</v>
      </c>
      <c r="E5" s="13">
        <v>1</v>
      </c>
      <c r="F5" s="13" t="s">
        <v>145</v>
      </c>
      <c r="G5" s="14" t="s">
        <v>146</v>
      </c>
      <c r="H5" s="13" t="s">
        <v>147</v>
      </c>
      <c r="I5" s="13">
        <v>100</v>
      </c>
      <c r="J5" s="13" t="s">
        <v>13</v>
      </c>
      <c r="K5" s="13" t="s">
        <v>148</v>
      </c>
      <c r="L5" s="13" t="s">
        <v>148</v>
      </c>
      <c r="M5" s="13" t="s">
        <v>148</v>
      </c>
    </row>
    <row r="6" spans="2:13" ht="18" customHeight="1">
      <c r="B6" s="45"/>
      <c r="C6" s="45"/>
      <c r="D6" s="15">
        <v>2</v>
      </c>
      <c r="E6" s="15">
        <v>1</v>
      </c>
      <c r="F6" s="15" t="s">
        <v>149</v>
      </c>
      <c r="G6" s="16" t="s">
        <v>150</v>
      </c>
      <c r="H6" s="15" t="s">
        <v>147</v>
      </c>
      <c r="I6" s="15">
        <v>100</v>
      </c>
      <c r="J6" s="15" t="s">
        <v>13</v>
      </c>
      <c r="K6" s="15"/>
      <c r="L6" s="15" t="s">
        <v>148</v>
      </c>
      <c r="M6" s="15"/>
    </row>
    <row r="7" spans="2:13" ht="18" customHeight="1">
      <c r="B7" s="45"/>
      <c r="C7" s="45"/>
      <c r="D7" s="15">
        <v>3</v>
      </c>
      <c r="E7" s="15">
        <v>1</v>
      </c>
      <c r="F7" s="15" t="s">
        <v>151</v>
      </c>
      <c r="G7" s="16" t="s">
        <v>152</v>
      </c>
      <c r="H7" s="15" t="s">
        <v>147</v>
      </c>
      <c r="I7" s="15">
        <v>200</v>
      </c>
      <c r="J7" s="15" t="s">
        <v>13</v>
      </c>
      <c r="K7" s="15"/>
      <c r="L7" s="15" t="s">
        <v>148</v>
      </c>
      <c r="M7" s="15"/>
    </row>
    <row r="8" spans="2:13" ht="18" customHeight="1">
      <c r="B8" s="45"/>
      <c r="C8" s="45"/>
      <c r="D8" s="15">
        <v>4</v>
      </c>
      <c r="E8" s="15">
        <v>1</v>
      </c>
      <c r="F8" s="15" t="s">
        <v>153</v>
      </c>
      <c r="G8" s="16" t="s">
        <v>154</v>
      </c>
      <c r="H8" s="15" t="s">
        <v>147</v>
      </c>
      <c r="I8" s="15">
        <v>500</v>
      </c>
      <c r="J8" s="15" t="s">
        <v>13</v>
      </c>
      <c r="K8" s="15"/>
      <c r="L8" s="15" t="s">
        <v>148</v>
      </c>
      <c r="M8" s="15"/>
    </row>
    <row r="9" spans="2:13" ht="18" customHeight="1">
      <c r="B9" s="45"/>
      <c r="C9" s="45"/>
      <c r="D9" s="15">
        <v>5</v>
      </c>
      <c r="E9" s="15">
        <v>1</v>
      </c>
      <c r="F9" s="15" t="s">
        <v>155</v>
      </c>
      <c r="G9" s="16" t="s">
        <v>156</v>
      </c>
      <c r="H9" s="15" t="s">
        <v>147</v>
      </c>
      <c r="I9" s="15">
        <v>1000</v>
      </c>
      <c r="J9" s="15" t="s">
        <v>13</v>
      </c>
      <c r="K9" s="15"/>
      <c r="L9" s="15" t="s">
        <v>148</v>
      </c>
      <c r="M9" s="15"/>
    </row>
    <row r="10" spans="2:13" ht="18" customHeight="1">
      <c r="B10" s="45"/>
      <c r="C10" s="45"/>
      <c r="D10" s="15">
        <v>6</v>
      </c>
      <c r="E10" s="15">
        <v>1</v>
      </c>
      <c r="F10" s="15" t="s">
        <v>157</v>
      </c>
      <c r="G10" s="16" t="s">
        <v>158</v>
      </c>
      <c r="H10" s="15" t="s">
        <v>147</v>
      </c>
      <c r="I10" s="15">
        <v>200</v>
      </c>
      <c r="J10" s="15" t="s">
        <v>13</v>
      </c>
      <c r="K10" s="15"/>
      <c r="L10" s="15"/>
      <c r="M10" s="15"/>
    </row>
    <row r="11" spans="2:13" ht="18" customHeight="1">
      <c r="B11" s="45"/>
      <c r="C11" s="45"/>
      <c r="D11" s="15">
        <v>7</v>
      </c>
      <c r="E11" s="15">
        <v>1</v>
      </c>
      <c r="F11" s="15" t="s">
        <v>159</v>
      </c>
      <c r="G11" s="16" t="s">
        <v>160</v>
      </c>
      <c r="H11" s="15" t="s">
        <v>147</v>
      </c>
      <c r="I11" s="15">
        <v>2000</v>
      </c>
      <c r="J11" s="15" t="s">
        <v>13</v>
      </c>
      <c r="K11" s="15"/>
      <c r="L11" s="15"/>
      <c r="M11" s="15"/>
    </row>
    <row r="12" spans="2:13" ht="18" customHeight="1">
      <c r="B12" s="45"/>
      <c r="C12" s="45"/>
      <c r="D12" s="15">
        <v>8</v>
      </c>
      <c r="E12" s="15">
        <v>1</v>
      </c>
      <c r="F12" s="15" t="s">
        <v>161</v>
      </c>
      <c r="G12" s="16" t="s">
        <v>162</v>
      </c>
      <c r="H12" s="15" t="s">
        <v>163</v>
      </c>
      <c r="I12" s="15" t="s">
        <v>13</v>
      </c>
      <c r="J12" s="15" t="s">
        <v>13</v>
      </c>
      <c r="K12" s="15"/>
      <c r="L12" s="15" t="s">
        <v>148</v>
      </c>
      <c r="M12" s="15"/>
    </row>
    <row r="13" spans="2:13" ht="18" customHeight="1">
      <c r="B13" s="45"/>
      <c r="C13" s="45"/>
      <c r="D13" s="15">
        <v>9</v>
      </c>
      <c r="E13" s="15">
        <v>1</v>
      </c>
      <c r="F13" s="15" t="s">
        <v>164</v>
      </c>
      <c r="G13" s="16" t="s">
        <v>165</v>
      </c>
      <c r="H13" s="15" t="s">
        <v>166</v>
      </c>
      <c r="I13" s="15" t="s">
        <v>13</v>
      </c>
      <c r="J13" s="15" t="s">
        <v>13</v>
      </c>
      <c r="K13" s="15"/>
      <c r="L13" s="15" t="s">
        <v>148</v>
      </c>
      <c r="M13" s="15"/>
    </row>
    <row r="14" spans="2:13" ht="6" customHeight="1"/>
    <row r="15" spans="2:13" ht="15.75" customHeight="1">
      <c r="B15" s="44" t="s">
        <v>167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2:13" ht="18" customHeight="1">
      <c r="B16" s="45" t="s">
        <v>168</v>
      </c>
      <c r="C16" s="46" t="s">
        <v>169</v>
      </c>
      <c r="D16" s="13">
        <v>1</v>
      </c>
      <c r="E16" s="13">
        <v>1</v>
      </c>
      <c r="F16" s="13" t="s">
        <v>170</v>
      </c>
      <c r="G16" s="14" t="s">
        <v>171</v>
      </c>
      <c r="H16" s="13" t="s">
        <v>147</v>
      </c>
      <c r="I16" s="13">
        <v>100</v>
      </c>
      <c r="J16" s="13" t="s">
        <v>13</v>
      </c>
      <c r="K16" s="13" t="s">
        <v>148</v>
      </c>
      <c r="L16" s="13" t="s">
        <v>148</v>
      </c>
      <c r="M16" s="13"/>
    </row>
    <row r="17" spans="2:13" ht="18" customHeight="1">
      <c r="B17" s="45"/>
      <c r="C17" s="45"/>
      <c r="D17" s="15">
        <v>2</v>
      </c>
      <c r="E17" s="15">
        <v>1</v>
      </c>
      <c r="F17" s="15" t="s">
        <v>172</v>
      </c>
      <c r="G17" s="16" t="s">
        <v>173</v>
      </c>
      <c r="H17" s="15" t="s">
        <v>174</v>
      </c>
      <c r="I17" s="15" t="s">
        <v>13</v>
      </c>
      <c r="J17" s="15" t="s">
        <v>13</v>
      </c>
      <c r="K17" s="15"/>
      <c r="L17" s="15" t="s">
        <v>148</v>
      </c>
      <c r="M17" s="15"/>
    </row>
    <row r="18" spans="2:13" ht="18" customHeight="1">
      <c r="B18" s="45"/>
      <c r="C18" s="45"/>
      <c r="D18" s="15">
        <v>3</v>
      </c>
      <c r="E18" s="15">
        <v>1</v>
      </c>
      <c r="F18" s="15" t="s">
        <v>175</v>
      </c>
      <c r="G18" s="16" t="s">
        <v>176</v>
      </c>
      <c r="H18" s="15" t="s">
        <v>147</v>
      </c>
      <c r="I18" s="15">
        <v>100</v>
      </c>
      <c r="J18" s="15" t="s">
        <v>13</v>
      </c>
      <c r="K18" s="15"/>
      <c r="L18" s="15" t="s">
        <v>148</v>
      </c>
      <c r="M18" s="15"/>
    </row>
    <row r="19" spans="2:13" ht="18" customHeight="1">
      <c r="B19" s="45"/>
      <c r="C19" s="45"/>
      <c r="D19" s="15">
        <v>4</v>
      </c>
      <c r="E19" s="15">
        <v>1</v>
      </c>
      <c r="F19" s="15" t="s">
        <v>177</v>
      </c>
      <c r="G19" s="16" t="s">
        <v>178</v>
      </c>
      <c r="H19" s="15" t="s">
        <v>166</v>
      </c>
      <c r="I19" s="15" t="s">
        <v>13</v>
      </c>
      <c r="J19" s="15" t="s">
        <v>13</v>
      </c>
      <c r="K19" s="15"/>
      <c r="L19" s="15" t="s">
        <v>148</v>
      </c>
      <c r="M19" s="15"/>
    </row>
    <row r="20" spans="2:13" ht="6" customHeight="1"/>
    <row r="21" spans="2:13" ht="15.75" customHeight="1">
      <c r="B21" s="44" t="s">
        <v>179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2:13" ht="18" customHeight="1">
      <c r="B22" s="45" t="s">
        <v>180</v>
      </c>
      <c r="C22" s="46" t="s">
        <v>181</v>
      </c>
      <c r="D22" s="13">
        <v>1</v>
      </c>
      <c r="E22" s="13">
        <v>1</v>
      </c>
      <c r="F22" s="13" t="s">
        <v>182</v>
      </c>
      <c r="G22" s="14" t="s">
        <v>183</v>
      </c>
      <c r="H22" s="13" t="s">
        <v>147</v>
      </c>
      <c r="I22" s="13">
        <v>100</v>
      </c>
      <c r="J22" s="13" t="s">
        <v>13</v>
      </c>
      <c r="K22" s="13" t="s">
        <v>148</v>
      </c>
      <c r="L22" s="13" t="s">
        <v>148</v>
      </c>
      <c r="M22" s="13" t="s">
        <v>148</v>
      </c>
    </row>
    <row r="23" spans="2:13" ht="18" customHeight="1">
      <c r="B23" s="45"/>
      <c r="C23" s="45"/>
      <c r="D23" s="15">
        <v>2</v>
      </c>
      <c r="E23" s="15">
        <v>1</v>
      </c>
      <c r="F23" s="15" t="s">
        <v>170</v>
      </c>
      <c r="G23" s="16" t="s">
        <v>171</v>
      </c>
      <c r="H23" s="15" t="s">
        <v>147</v>
      </c>
      <c r="I23" s="15">
        <v>100</v>
      </c>
      <c r="J23" s="15" t="s">
        <v>13</v>
      </c>
      <c r="K23" s="15"/>
      <c r="L23" s="15" t="s">
        <v>148</v>
      </c>
      <c r="M23" s="15"/>
    </row>
    <row r="24" spans="2:13" ht="18" customHeight="1">
      <c r="B24" s="45"/>
      <c r="C24" s="45"/>
      <c r="D24" s="15">
        <v>3</v>
      </c>
      <c r="E24" s="15">
        <v>1</v>
      </c>
      <c r="F24" s="15" t="s">
        <v>184</v>
      </c>
      <c r="G24" s="16" t="s">
        <v>185</v>
      </c>
      <c r="H24" s="15" t="s">
        <v>147</v>
      </c>
      <c r="I24" s="15">
        <v>20</v>
      </c>
      <c r="J24" s="15" t="s">
        <v>13</v>
      </c>
      <c r="K24" s="15"/>
      <c r="L24" s="15" t="s">
        <v>148</v>
      </c>
      <c r="M24" s="15"/>
    </row>
    <row r="25" spans="2:13" ht="18" customHeight="1">
      <c r="B25" s="45"/>
      <c r="C25" s="45"/>
      <c r="D25" s="15">
        <v>4</v>
      </c>
      <c r="E25" s="15">
        <v>1</v>
      </c>
      <c r="F25" s="15" t="s">
        <v>172</v>
      </c>
      <c r="G25" s="16" t="s">
        <v>186</v>
      </c>
      <c r="H25" s="15" t="s">
        <v>174</v>
      </c>
      <c r="I25" s="15" t="s">
        <v>13</v>
      </c>
      <c r="J25" s="15" t="s">
        <v>13</v>
      </c>
      <c r="K25" s="15"/>
      <c r="L25" s="15" t="s">
        <v>148</v>
      </c>
      <c r="M25" s="15"/>
    </row>
    <row r="26" spans="2:13" ht="18" customHeight="1">
      <c r="B26" s="45"/>
      <c r="C26" s="45"/>
      <c r="D26" s="15">
        <v>5</v>
      </c>
      <c r="E26" s="15">
        <v>1</v>
      </c>
      <c r="F26" s="15" t="s">
        <v>187</v>
      </c>
      <c r="G26" s="16" t="s">
        <v>188</v>
      </c>
      <c r="H26" s="15" t="s">
        <v>147</v>
      </c>
      <c r="I26" s="15">
        <v>100</v>
      </c>
      <c r="J26" s="15" t="s">
        <v>13</v>
      </c>
      <c r="K26" s="15"/>
      <c r="L26" s="15" t="s">
        <v>148</v>
      </c>
      <c r="M26" s="15"/>
    </row>
    <row r="27" spans="2:13" ht="18" customHeight="1">
      <c r="B27" s="45"/>
      <c r="C27" s="45"/>
      <c r="D27" s="15">
        <v>6</v>
      </c>
      <c r="E27" s="15">
        <v>1</v>
      </c>
      <c r="F27" s="15" t="s">
        <v>189</v>
      </c>
      <c r="G27" s="16" t="s">
        <v>190</v>
      </c>
      <c r="H27" s="15" t="s">
        <v>147</v>
      </c>
      <c r="I27" s="15">
        <v>500</v>
      </c>
      <c r="J27" s="15" t="s">
        <v>13</v>
      </c>
      <c r="K27" s="15"/>
      <c r="L27" s="15"/>
      <c r="M27" s="15"/>
    </row>
    <row r="28" spans="2:13" ht="18" customHeight="1">
      <c r="B28" s="45"/>
      <c r="C28" s="45"/>
      <c r="D28" s="15">
        <v>7</v>
      </c>
      <c r="E28" s="15">
        <v>1</v>
      </c>
      <c r="F28" s="15" t="s">
        <v>191</v>
      </c>
      <c r="G28" s="16" t="s">
        <v>192</v>
      </c>
      <c r="H28" s="15" t="s">
        <v>147</v>
      </c>
      <c r="I28" s="15">
        <v>10</v>
      </c>
      <c r="J28" s="15" t="s">
        <v>13</v>
      </c>
      <c r="K28" s="15"/>
      <c r="L28" s="15" t="s">
        <v>148</v>
      </c>
      <c r="M28" s="15"/>
    </row>
    <row r="29" spans="2:13" ht="18" customHeight="1">
      <c r="B29" s="45"/>
      <c r="C29" s="45"/>
      <c r="D29" s="15">
        <v>8</v>
      </c>
      <c r="E29" s="15">
        <v>1</v>
      </c>
      <c r="F29" s="15" t="s">
        <v>193</v>
      </c>
      <c r="G29" s="16" t="s">
        <v>194</v>
      </c>
      <c r="H29" s="15" t="s">
        <v>166</v>
      </c>
      <c r="I29" s="15" t="s">
        <v>13</v>
      </c>
      <c r="J29" s="15" t="s">
        <v>13</v>
      </c>
      <c r="K29" s="15"/>
      <c r="L29" s="15" t="s">
        <v>148</v>
      </c>
      <c r="M29" s="15"/>
    </row>
    <row r="30" spans="2:13" ht="6" customHeight="1"/>
    <row r="31" spans="2:13" ht="15.75" customHeight="1">
      <c r="B31" s="44" t="s">
        <v>195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2:13" ht="18" customHeight="1">
      <c r="B32" s="45" t="s">
        <v>196</v>
      </c>
      <c r="C32" s="46" t="s">
        <v>197</v>
      </c>
      <c r="D32" s="13">
        <v>1</v>
      </c>
      <c r="E32" s="13">
        <v>1</v>
      </c>
      <c r="F32" s="13" t="s">
        <v>198</v>
      </c>
      <c r="G32" s="14" t="s">
        <v>199</v>
      </c>
      <c r="H32" s="13" t="s">
        <v>147</v>
      </c>
      <c r="I32" s="13">
        <v>100</v>
      </c>
      <c r="J32" s="13" t="s">
        <v>13</v>
      </c>
      <c r="K32" s="13" t="s">
        <v>148</v>
      </c>
      <c r="L32" s="13" t="s">
        <v>148</v>
      </c>
      <c r="M32" s="13" t="s">
        <v>148</v>
      </c>
    </row>
    <row r="33" spans="2:13" ht="18" customHeight="1">
      <c r="B33" s="45"/>
      <c r="C33" s="45"/>
      <c r="D33" s="15">
        <v>2</v>
      </c>
      <c r="E33" s="15">
        <v>1</v>
      </c>
      <c r="F33" s="15" t="s">
        <v>170</v>
      </c>
      <c r="G33" s="16" t="s">
        <v>171</v>
      </c>
      <c r="H33" s="15" t="s">
        <v>147</v>
      </c>
      <c r="I33" s="15">
        <v>100</v>
      </c>
      <c r="J33" s="15" t="s">
        <v>13</v>
      </c>
      <c r="K33" s="15"/>
      <c r="L33" s="15" t="s">
        <v>148</v>
      </c>
      <c r="M33" s="15"/>
    </row>
    <row r="34" spans="2:13" ht="18" customHeight="1">
      <c r="B34" s="45"/>
      <c r="C34" s="45"/>
      <c r="D34" s="15">
        <v>3</v>
      </c>
      <c r="E34" s="15">
        <v>1</v>
      </c>
      <c r="F34" s="15" t="s">
        <v>149</v>
      </c>
      <c r="G34" s="16" t="s">
        <v>200</v>
      </c>
      <c r="H34" s="15" t="s">
        <v>147</v>
      </c>
      <c r="I34" s="15">
        <v>100</v>
      </c>
      <c r="J34" s="15" t="s">
        <v>13</v>
      </c>
      <c r="K34" s="15"/>
      <c r="L34" s="15" t="s">
        <v>148</v>
      </c>
      <c r="M34" s="15"/>
    </row>
    <row r="35" spans="2:13" ht="18" customHeight="1">
      <c r="B35" s="45"/>
      <c r="C35" s="45"/>
      <c r="D35" s="15">
        <v>4</v>
      </c>
      <c r="E35" s="15">
        <v>1</v>
      </c>
      <c r="F35" s="15" t="s">
        <v>201</v>
      </c>
      <c r="G35" s="15" t="s">
        <v>202</v>
      </c>
      <c r="H35" s="15" t="s">
        <v>203</v>
      </c>
      <c r="I35" s="15" t="s">
        <v>13</v>
      </c>
      <c r="J35" s="15" t="s">
        <v>13</v>
      </c>
      <c r="K35" s="15"/>
      <c r="L35" s="15" t="s">
        <v>148</v>
      </c>
      <c r="M35" s="15"/>
    </row>
    <row r="36" spans="2:13" ht="18" customHeight="1">
      <c r="B36" s="45"/>
      <c r="C36" s="45"/>
      <c r="D36" s="15">
        <v>5</v>
      </c>
      <c r="E36" s="15">
        <v>1</v>
      </c>
      <c r="F36" s="15" t="s">
        <v>204</v>
      </c>
      <c r="G36" s="16" t="s">
        <v>205</v>
      </c>
      <c r="H36" s="15" t="s">
        <v>147</v>
      </c>
      <c r="I36" s="15">
        <v>20</v>
      </c>
      <c r="J36" s="15" t="s">
        <v>13</v>
      </c>
      <c r="K36" s="15"/>
      <c r="L36" s="15" t="s">
        <v>148</v>
      </c>
      <c r="M36" s="15"/>
    </row>
    <row r="37" spans="2:13" ht="18" customHeight="1">
      <c r="B37" s="45"/>
      <c r="C37" s="45"/>
      <c r="D37" s="15">
        <v>6</v>
      </c>
      <c r="E37" s="15">
        <v>1</v>
      </c>
      <c r="F37" s="15" t="s">
        <v>206</v>
      </c>
      <c r="G37" s="16" t="s">
        <v>207</v>
      </c>
      <c r="H37" s="15" t="s">
        <v>208</v>
      </c>
      <c r="I37" s="15" t="s">
        <v>13</v>
      </c>
      <c r="J37" s="15" t="s">
        <v>13</v>
      </c>
      <c r="K37" s="15"/>
      <c r="L37" s="15" t="s">
        <v>148</v>
      </c>
      <c r="M37" s="15"/>
    </row>
    <row r="38" spans="2:13" ht="18" customHeight="1">
      <c r="B38" s="45"/>
      <c r="C38" s="45"/>
      <c r="D38" s="15">
        <v>7</v>
      </c>
      <c r="E38" s="15">
        <v>1</v>
      </c>
      <c r="F38" s="15" t="s">
        <v>209</v>
      </c>
      <c r="G38" s="16" t="s">
        <v>210</v>
      </c>
      <c r="H38" s="15" t="s">
        <v>166</v>
      </c>
      <c r="I38" s="15" t="s">
        <v>13</v>
      </c>
      <c r="J38" s="15" t="s">
        <v>13</v>
      </c>
      <c r="K38" s="15"/>
      <c r="L38" s="15" t="s">
        <v>148</v>
      </c>
      <c r="M38" s="15"/>
    </row>
    <row r="39" spans="2:13" ht="6" customHeight="1"/>
    <row r="40" spans="2:13" ht="15.75" customHeight="1">
      <c r="B40" s="44" t="s">
        <v>211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spans="2:13" ht="18" customHeight="1">
      <c r="B41" s="45" t="s">
        <v>212</v>
      </c>
      <c r="C41" s="46" t="s">
        <v>213</v>
      </c>
      <c r="D41" s="13">
        <v>1</v>
      </c>
      <c r="E41" s="13">
        <v>1</v>
      </c>
      <c r="F41" s="13" t="s">
        <v>214</v>
      </c>
      <c r="G41" s="14" t="s">
        <v>215</v>
      </c>
      <c r="H41" s="13" t="s">
        <v>147</v>
      </c>
      <c r="I41" s="13">
        <v>100</v>
      </c>
      <c r="J41" s="13" t="s">
        <v>13</v>
      </c>
      <c r="K41" s="13" t="s">
        <v>148</v>
      </c>
      <c r="L41" s="13" t="s">
        <v>148</v>
      </c>
      <c r="M41" s="13" t="s">
        <v>148</v>
      </c>
    </row>
    <row r="42" spans="2:13" ht="18" customHeight="1">
      <c r="B42" s="45"/>
      <c r="C42" s="45"/>
      <c r="D42" s="15">
        <v>2</v>
      </c>
      <c r="E42" s="15">
        <v>1</v>
      </c>
      <c r="F42" s="15" t="s">
        <v>149</v>
      </c>
      <c r="G42" s="16" t="s">
        <v>216</v>
      </c>
      <c r="H42" s="15" t="s">
        <v>147</v>
      </c>
      <c r="I42" s="15">
        <v>100</v>
      </c>
      <c r="J42" s="15" t="s">
        <v>13</v>
      </c>
      <c r="K42" s="15"/>
      <c r="L42" s="15" t="s">
        <v>148</v>
      </c>
      <c r="M42" s="15"/>
    </row>
    <row r="43" spans="2:13" ht="18" customHeight="1">
      <c r="B43" s="45"/>
      <c r="C43" s="45"/>
      <c r="D43" s="15">
        <v>3</v>
      </c>
      <c r="E43" s="15">
        <v>1</v>
      </c>
      <c r="F43" s="15" t="s">
        <v>217</v>
      </c>
      <c r="G43" s="16" t="s">
        <v>218</v>
      </c>
      <c r="H43" s="15" t="s">
        <v>147</v>
      </c>
      <c r="I43" s="15">
        <v>20</v>
      </c>
      <c r="J43" s="15" t="s">
        <v>13</v>
      </c>
      <c r="K43" s="15"/>
      <c r="L43" s="15" t="s">
        <v>148</v>
      </c>
      <c r="M43" s="15"/>
    </row>
    <row r="44" spans="2:13" ht="18" customHeight="1">
      <c r="B44" s="45"/>
      <c r="C44" s="45"/>
      <c r="D44" s="15">
        <v>4</v>
      </c>
      <c r="E44" s="15">
        <v>1</v>
      </c>
      <c r="F44" s="15" t="s">
        <v>153</v>
      </c>
      <c r="G44" s="16" t="s">
        <v>219</v>
      </c>
      <c r="H44" s="15" t="s">
        <v>147</v>
      </c>
      <c r="I44" s="15">
        <v>200</v>
      </c>
      <c r="J44" s="15" t="s">
        <v>13</v>
      </c>
      <c r="K44" s="15"/>
      <c r="L44" s="15" t="s">
        <v>148</v>
      </c>
      <c r="M44" s="15"/>
    </row>
    <row r="45" spans="2:13" ht="18" customHeight="1">
      <c r="B45" s="45"/>
      <c r="C45" s="45"/>
      <c r="D45" s="15">
        <v>5</v>
      </c>
      <c r="E45" s="15">
        <v>1</v>
      </c>
      <c r="F45" s="15" t="s">
        <v>172</v>
      </c>
      <c r="G45" s="16" t="s">
        <v>220</v>
      </c>
      <c r="H45" s="15" t="s">
        <v>147</v>
      </c>
      <c r="I45" s="15">
        <v>1000</v>
      </c>
      <c r="J45" s="15" t="s">
        <v>13</v>
      </c>
      <c r="K45" s="15"/>
      <c r="L45" s="15"/>
      <c r="M45" s="15"/>
    </row>
    <row r="46" spans="2:13" ht="18" customHeight="1">
      <c r="B46" s="45"/>
      <c r="C46" s="45"/>
      <c r="D46" s="15">
        <v>6</v>
      </c>
      <c r="E46" s="15">
        <v>1</v>
      </c>
      <c r="F46" s="15" t="s">
        <v>221</v>
      </c>
      <c r="G46" s="16" t="s">
        <v>222</v>
      </c>
      <c r="H46" s="15" t="s">
        <v>147</v>
      </c>
      <c r="I46" s="15">
        <v>100</v>
      </c>
      <c r="J46" s="15" t="s">
        <v>13</v>
      </c>
      <c r="K46" s="15"/>
      <c r="L46" s="15"/>
      <c r="M46" s="15"/>
    </row>
    <row r="47" spans="2:13" ht="18" customHeight="1">
      <c r="B47" s="45"/>
      <c r="C47" s="45"/>
      <c r="D47" s="15">
        <v>7</v>
      </c>
      <c r="E47" s="15">
        <v>1</v>
      </c>
      <c r="F47" s="15" t="s">
        <v>223</v>
      </c>
      <c r="G47" s="16" t="s">
        <v>224</v>
      </c>
      <c r="H47" s="15" t="s">
        <v>163</v>
      </c>
      <c r="I47" s="15" t="s">
        <v>13</v>
      </c>
      <c r="J47" s="15" t="s">
        <v>13</v>
      </c>
      <c r="K47" s="15"/>
      <c r="L47" s="15" t="s">
        <v>148</v>
      </c>
      <c r="M47" s="15"/>
    </row>
    <row r="48" spans="2:13" ht="18" customHeight="1">
      <c r="B48" s="45"/>
      <c r="C48" s="45"/>
      <c r="D48" s="15">
        <v>8</v>
      </c>
      <c r="E48" s="15">
        <v>1</v>
      </c>
      <c r="F48" s="15" t="s">
        <v>225</v>
      </c>
      <c r="G48" s="16" t="s">
        <v>226</v>
      </c>
      <c r="H48" s="15" t="s">
        <v>147</v>
      </c>
      <c r="I48" s="15">
        <v>20</v>
      </c>
      <c r="J48" s="15" t="s">
        <v>13</v>
      </c>
      <c r="K48" s="15"/>
      <c r="L48" s="15" t="s">
        <v>148</v>
      </c>
      <c r="M48" s="15"/>
    </row>
    <row r="49" spans="2:13" ht="18" customHeight="1">
      <c r="B49" s="45"/>
      <c r="C49" s="45"/>
      <c r="D49" s="15">
        <v>9</v>
      </c>
      <c r="E49" s="15">
        <v>1</v>
      </c>
      <c r="F49" s="15" t="s">
        <v>193</v>
      </c>
      <c r="G49" s="16" t="s">
        <v>227</v>
      </c>
      <c r="H49" s="15" t="s">
        <v>166</v>
      </c>
      <c r="I49" s="15" t="s">
        <v>13</v>
      </c>
      <c r="J49" s="15" t="s">
        <v>13</v>
      </c>
      <c r="K49" s="15"/>
      <c r="L49" s="15" t="s">
        <v>148</v>
      </c>
      <c r="M49" s="15"/>
    </row>
    <row r="50" spans="2:13" ht="6" customHeight="1"/>
    <row r="51" spans="2:13" ht="18" customHeight="1"/>
    <row r="52" spans="2:13" ht="18" customHeight="1"/>
    <row r="53" spans="2:13" ht="18" customHeight="1"/>
    <row r="54" spans="2:13" ht="18" customHeight="1"/>
    <row r="55" spans="2:13" ht="18" customHeight="1"/>
    <row r="56" spans="2:13" ht="18" customHeight="1"/>
    <row r="57" spans="2:13" ht="18" customHeight="1"/>
    <row r="58" spans="2:13" ht="18" customHeight="1"/>
    <row r="59" spans="2:13" ht="18" customHeight="1"/>
    <row r="60" spans="2:13" ht="18" customHeight="1"/>
    <row r="61" spans="2:13" ht="18" customHeight="1"/>
    <row r="62" spans="2:13" ht="18" customHeight="1"/>
    <row r="63" spans="2:13" ht="18" customHeight="1"/>
    <row r="64" spans="2:13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16">
    <mergeCell ref="B31:M31"/>
    <mergeCell ref="B32:B38"/>
    <mergeCell ref="C32:C38"/>
    <mergeCell ref="B40:M40"/>
    <mergeCell ref="B41:B49"/>
    <mergeCell ref="C41:C49"/>
    <mergeCell ref="B16:B19"/>
    <mergeCell ref="C16:C19"/>
    <mergeCell ref="B21:M21"/>
    <mergeCell ref="B22:B29"/>
    <mergeCell ref="C22:C29"/>
    <mergeCell ref="B2:M2"/>
    <mergeCell ref="B4:M4"/>
    <mergeCell ref="B5:B13"/>
    <mergeCell ref="C5:C13"/>
    <mergeCell ref="B15:M15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showGridLines="0" zoomScaleNormal="100" workbookViewId="0"/>
  </sheetViews>
  <sheetFormatPr defaultColWidth="8.7109375" defaultRowHeight="15"/>
  <cols>
    <col min="1" max="1" width="3.5703125" style="1" customWidth="1"/>
    <col min="2" max="2" width="16" style="1" customWidth="1"/>
    <col min="3" max="3" width="14" style="1" customWidth="1"/>
    <col min="4" max="4" width="5" style="1" customWidth="1"/>
    <col min="5" max="5" width="18" style="1" customWidth="1"/>
    <col min="6" max="6" width="16" style="1" customWidth="1"/>
    <col min="7" max="7" width="12" style="1" customWidth="1"/>
    <col min="8" max="8" width="9" style="1" customWidth="1"/>
    <col min="9" max="9" width="10" style="1" customWidth="1"/>
    <col min="10" max="10" width="6" style="1" customWidth="1"/>
    <col min="11" max="11" width="10" style="1" customWidth="1"/>
    <col min="12" max="12" width="8" style="1" customWidth="1"/>
    <col min="13" max="13" width="10" style="1" customWidth="1"/>
    <col min="14" max="14" width="16" style="1" customWidth="1"/>
  </cols>
  <sheetData>
    <row r="1" spans="1:25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customHeight="1">
      <c r="A2" s="2"/>
      <c r="B2" s="47" t="s">
        <v>228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5" customHeight="1">
      <c r="A3" s="2"/>
      <c r="B3" s="17" t="s">
        <v>229</v>
      </c>
      <c r="C3" s="17" t="s">
        <v>230</v>
      </c>
      <c r="D3" s="17" t="s">
        <v>55</v>
      </c>
      <c r="E3" s="17" t="s">
        <v>231</v>
      </c>
      <c r="F3" s="17" t="s">
        <v>232</v>
      </c>
      <c r="G3" s="17" t="s">
        <v>136</v>
      </c>
      <c r="H3" s="17" t="s">
        <v>137</v>
      </c>
      <c r="I3" s="17" t="s">
        <v>138</v>
      </c>
      <c r="J3" s="17" t="s">
        <v>139</v>
      </c>
      <c r="K3" s="17" t="s">
        <v>140</v>
      </c>
      <c r="L3" s="17" t="s">
        <v>141</v>
      </c>
      <c r="M3" s="17" t="s">
        <v>233</v>
      </c>
      <c r="N3" s="18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>
      <c r="A4" s="2"/>
      <c r="B4" s="48" t="s">
        <v>234</v>
      </c>
      <c r="C4" s="38" t="s">
        <v>235</v>
      </c>
      <c r="D4" s="19">
        <v>1</v>
      </c>
      <c r="E4" s="19" t="s">
        <v>149</v>
      </c>
      <c r="F4" s="20" t="s">
        <v>150</v>
      </c>
      <c r="G4" s="19" t="s">
        <v>236</v>
      </c>
      <c r="H4" s="19">
        <v>100</v>
      </c>
      <c r="I4" s="19" t="s">
        <v>13</v>
      </c>
      <c r="J4" s="19" t="s">
        <v>148</v>
      </c>
      <c r="K4" s="19" t="s">
        <v>148</v>
      </c>
      <c r="L4" s="19" t="s">
        <v>148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>
      <c r="A5" s="2"/>
      <c r="B5" s="48"/>
      <c r="C5" s="48"/>
      <c r="D5" s="7">
        <v>2</v>
      </c>
      <c r="E5" s="7" t="s">
        <v>237</v>
      </c>
      <c r="F5" s="5" t="s">
        <v>238</v>
      </c>
      <c r="G5" s="7" t="s">
        <v>236</v>
      </c>
      <c r="H5" s="7">
        <v>300</v>
      </c>
      <c r="I5" s="7" t="s">
        <v>13</v>
      </c>
      <c r="K5" s="7" t="s">
        <v>148</v>
      </c>
      <c r="L5" s="7" t="s">
        <v>148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2"/>
      <c r="B6" s="48"/>
      <c r="C6" s="48"/>
      <c r="D6" s="7">
        <v>3</v>
      </c>
      <c r="E6" s="7" t="s">
        <v>239</v>
      </c>
      <c r="F6" s="5" t="s">
        <v>240</v>
      </c>
      <c r="G6" s="7" t="s">
        <v>236</v>
      </c>
      <c r="H6" s="7">
        <v>100</v>
      </c>
      <c r="I6" s="7" t="s">
        <v>13</v>
      </c>
      <c r="K6" s="7" t="s">
        <v>148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2"/>
      <c r="B7" s="48"/>
      <c r="C7" s="48"/>
      <c r="D7" s="7">
        <v>4</v>
      </c>
      <c r="E7" s="7" t="s">
        <v>241</v>
      </c>
      <c r="F7" s="5" t="s">
        <v>242</v>
      </c>
      <c r="G7" s="7" t="s">
        <v>236</v>
      </c>
      <c r="H7" s="7">
        <v>100</v>
      </c>
      <c r="I7" s="7" t="s">
        <v>13</v>
      </c>
      <c r="K7" s="7" t="s">
        <v>148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2"/>
      <c r="B8" s="48"/>
      <c r="C8" s="48"/>
      <c r="D8" s="7">
        <v>5</v>
      </c>
      <c r="E8" s="7" t="s">
        <v>243</v>
      </c>
      <c r="F8" s="5" t="s">
        <v>244</v>
      </c>
      <c r="G8" s="7" t="s">
        <v>245</v>
      </c>
      <c r="H8" s="7" t="s">
        <v>13</v>
      </c>
      <c r="I8" s="7" t="s">
        <v>13</v>
      </c>
      <c r="K8" s="7" t="s">
        <v>148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>
      <c r="A9" s="2"/>
      <c r="B9" s="48" t="s">
        <v>151</v>
      </c>
      <c r="C9" s="38" t="s">
        <v>246</v>
      </c>
      <c r="D9" s="19">
        <v>1</v>
      </c>
      <c r="E9" s="19" t="s">
        <v>247</v>
      </c>
      <c r="F9" s="20" t="s">
        <v>248</v>
      </c>
      <c r="G9" s="19" t="s">
        <v>236</v>
      </c>
      <c r="H9" s="19">
        <v>100</v>
      </c>
      <c r="I9" s="19" t="s">
        <v>13</v>
      </c>
      <c r="J9" s="19" t="s">
        <v>148</v>
      </c>
      <c r="K9" s="19" t="s">
        <v>148</v>
      </c>
      <c r="L9" s="19" t="s">
        <v>148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5" customHeight="1">
      <c r="A10" s="2"/>
      <c r="B10" s="48"/>
      <c r="C10" s="48"/>
      <c r="D10" s="7">
        <v>2</v>
      </c>
      <c r="E10" s="7" t="s">
        <v>149</v>
      </c>
      <c r="F10" s="5" t="s">
        <v>150</v>
      </c>
      <c r="G10" s="7" t="s">
        <v>236</v>
      </c>
      <c r="H10" s="7">
        <v>100</v>
      </c>
      <c r="I10" s="7" t="s">
        <v>13</v>
      </c>
      <c r="K10" s="7" t="s">
        <v>148</v>
      </c>
      <c r="M10" s="7" t="s">
        <v>148</v>
      </c>
      <c r="N10" s="7" t="s">
        <v>234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>
      <c r="A11" s="2"/>
      <c r="B11" s="48"/>
      <c r="C11" s="48"/>
      <c r="D11" s="7">
        <v>3</v>
      </c>
      <c r="E11" s="7" t="s">
        <v>249</v>
      </c>
      <c r="F11" s="5" t="s">
        <v>250</v>
      </c>
      <c r="G11" s="7" t="s">
        <v>236</v>
      </c>
      <c r="H11" s="7">
        <v>200</v>
      </c>
      <c r="I11" s="7" t="s">
        <v>13</v>
      </c>
      <c r="K11" s="7" t="s">
        <v>148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customHeight="1">
      <c r="A12" s="2"/>
      <c r="B12" s="48"/>
      <c r="C12" s="48"/>
      <c r="D12" s="7">
        <v>4</v>
      </c>
      <c r="E12" s="7" t="s">
        <v>193</v>
      </c>
      <c r="F12" s="5" t="s">
        <v>251</v>
      </c>
      <c r="G12" s="7" t="s">
        <v>245</v>
      </c>
      <c r="H12" s="7" t="s">
        <v>13</v>
      </c>
      <c r="I12" s="7" t="s">
        <v>13</v>
      </c>
      <c r="K12" s="7" t="s">
        <v>148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6.5" customHeight="1">
      <c r="A13" s="2"/>
      <c r="B13" s="48" t="s">
        <v>252</v>
      </c>
      <c r="C13" s="38" t="s">
        <v>33</v>
      </c>
      <c r="D13" s="19">
        <v>1</v>
      </c>
      <c r="E13" s="19" t="s">
        <v>170</v>
      </c>
      <c r="F13" s="20" t="s">
        <v>171</v>
      </c>
      <c r="G13" s="19" t="s">
        <v>236</v>
      </c>
      <c r="H13" s="19">
        <v>100</v>
      </c>
      <c r="I13" s="19" t="s">
        <v>13</v>
      </c>
      <c r="J13" s="19" t="s">
        <v>148</v>
      </c>
      <c r="K13" s="19" t="s">
        <v>148</v>
      </c>
      <c r="L13" s="19" t="s">
        <v>148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 customHeight="1">
      <c r="A14" s="2"/>
      <c r="B14" s="48"/>
      <c r="C14" s="48"/>
      <c r="D14" s="7">
        <v>2</v>
      </c>
      <c r="E14" s="7" t="s">
        <v>253</v>
      </c>
      <c r="F14" s="5" t="s">
        <v>254</v>
      </c>
      <c r="G14" s="7" t="s">
        <v>236</v>
      </c>
      <c r="H14" s="7">
        <v>200</v>
      </c>
      <c r="I14" s="7" t="s">
        <v>13</v>
      </c>
      <c r="K14" s="7" t="s">
        <v>148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.5" customHeight="1">
      <c r="A15" s="2"/>
      <c r="B15" s="48"/>
      <c r="C15" s="48"/>
      <c r="D15" s="7">
        <v>3</v>
      </c>
      <c r="E15" s="7" t="s">
        <v>255</v>
      </c>
      <c r="F15" s="5" t="s">
        <v>256</v>
      </c>
      <c r="G15" s="7" t="s">
        <v>236</v>
      </c>
      <c r="H15" s="7">
        <v>100</v>
      </c>
      <c r="I15" s="7" t="s">
        <v>13</v>
      </c>
      <c r="K15" s="7" t="s">
        <v>148</v>
      </c>
      <c r="M15" s="7" t="s">
        <v>148</v>
      </c>
      <c r="N15" s="7" t="s">
        <v>234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 customHeight="1">
      <c r="A16" s="2"/>
      <c r="B16" s="48"/>
      <c r="C16" s="48"/>
      <c r="D16" s="7">
        <v>4</v>
      </c>
      <c r="E16" s="7" t="s">
        <v>193</v>
      </c>
      <c r="F16" s="5" t="s">
        <v>251</v>
      </c>
      <c r="G16" s="7" t="s">
        <v>245</v>
      </c>
      <c r="H16" s="7" t="s">
        <v>13</v>
      </c>
      <c r="I16" s="7" t="s">
        <v>13</v>
      </c>
      <c r="K16" s="7" t="s">
        <v>148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6.5" customHeight="1">
      <c r="A17" s="2"/>
      <c r="B17" s="48" t="s">
        <v>257</v>
      </c>
      <c r="C17" s="38" t="s">
        <v>258</v>
      </c>
      <c r="D17" s="19">
        <v>1</v>
      </c>
      <c r="E17" s="19" t="s">
        <v>170</v>
      </c>
      <c r="F17" s="20" t="s">
        <v>171</v>
      </c>
      <c r="G17" s="19" t="s">
        <v>236</v>
      </c>
      <c r="H17" s="19">
        <v>100</v>
      </c>
      <c r="I17" s="19" t="s">
        <v>13</v>
      </c>
      <c r="J17" s="19" t="s">
        <v>148</v>
      </c>
      <c r="K17" s="19" t="s">
        <v>148</v>
      </c>
      <c r="M17" s="19" t="s">
        <v>148</v>
      </c>
      <c r="N17" s="19" t="s">
        <v>252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6.5" customHeight="1">
      <c r="A18" s="2"/>
      <c r="B18" s="48"/>
      <c r="C18" s="48"/>
      <c r="D18" s="19">
        <v>2</v>
      </c>
      <c r="E18" s="19" t="s">
        <v>149</v>
      </c>
      <c r="F18" s="20" t="s">
        <v>150</v>
      </c>
      <c r="G18" s="19" t="s">
        <v>236</v>
      </c>
      <c r="H18" s="19">
        <v>100</v>
      </c>
      <c r="I18" s="19" t="s">
        <v>13</v>
      </c>
      <c r="J18" s="19" t="s">
        <v>148</v>
      </c>
      <c r="K18" s="19" t="s">
        <v>148</v>
      </c>
      <c r="M18" s="19" t="s">
        <v>148</v>
      </c>
      <c r="N18" s="19" t="s">
        <v>234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 customHeight="1">
      <c r="A19" s="2"/>
      <c r="B19" s="48"/>
      <c r="C19" s="48"/>
      <c r="D19" s="7">
        <v>3</v>
      </c>
      <c r="E19" s="7" t="s">
        <v>259</v>
      </c>
      <c r="F19" s="5" t="s">
        <v>260</v>
      </c>
      <c r="G19" s="7" t="s">
        <v>245</v>
      </c>
      <c r="H19" s="7" t="s">
        <v>13</v>
      </c>
      <c r="I19" s="7" t="s">
        <v>13</v>
      </c>
      <c r="K19" s="7" t="s">
        <v>148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" customHeight="1">
      <c r="A21" s="2"/>
      <c r="B21" s="49" t="s">
        <v>261</v>
      </c>
      <c r="C21" s="50" t="s">
        <v>262</v>
      </c>
      <c r="D21" s="19">
        <v>1</v>
      </c>
      <c r="E21" s="19" t="s">
        <v>263</v>
      </c>
      <c r="F21" s="21" t="s">
        <v>264</v>
      </c>
      <c r="G21" s="19" t="s">
        <v>236</v>
      </c>
      <c r="H21" s="19">
        <v>100</v>
      </c>
      <c r="I21" s="19" t="s">
        <v>13</v>
      </c>
      <c r="J21" s="19" t="s">
        <v>148</v>
      </c>
      <c r="K21" s="19" t="s">
        <v>148</v>
      </c>
      <c r="L21" s="19" t="s">
        <v>148</v>
      </c>
      <c r="M21" s="19"/>
      <c r="N21" s="1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" customHeight="1">
      <c r="A22" s="2"/>
      <c r="B22" s="49"/>
      <c r="C22" s="49"/>
      <c r="D22" s="22">
        <v>2</v>
      </c>
      <c r="E22" s="22" t="s">
        <v>149</v>
      </c>
      <c r="F22" s="23" t="s">
        <v>265</v>
      </c>
      <c r="G22" s="22" t="s">
        <v>236</v>
      </c>
      <c r="H22" s="22">
        <v>100</v>
      </c>
      <c r="I22" s="22" t="s">
        <v>13</v>
      </c>
      <c r="J22" s="22"/>
      <c r="K22" s="22" t="s">
        <v>148</v>
      </c>
      <c r="L22" s="22"/>
      <c r="M22" s="22" t="s">
        <v>148</v>
      </c>
      <c r="N22" s="22" t="s">
        <v>234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" customHeight="1">
      <c r="A23" s="2"/>
      <c r="B23" s="49"/>
      <c r="C23" s="49"/>
      <c r="D23" s="22">
        <v>3</v>
      </c>
      <c r="E23" s="22" t="s">
        <v>266</v>
      </c>
      <c r="F23" s="22" t="s">
        <v>267</v>
      </c>
      <c r="G23" s="22" t="s">
        <v>236</v>
      </c>
      <c r="H23" s="22">
        <v>500</v>
      </c>
      <c r="I23" s="22" t="s">
        <v>13</v>
      </c>
      <c r="J23" s="22"/>
      <c r="K23" s="22" t="s">
        <v>148</v>
      </c>
      <c r="L23" s="22" t="s">
        <v>148</v>
      </c>
      <c r="M23" s="22"/>
      <c r="N23" s="2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" customHeight="1">
      <c r="A24" s="2"/>
      <c r="B24" s="49"/>
      <c r="C24" s="49"/>
      <c r="D24" s="22">
        <v>4</v>
      </c>
      <c r="E24" s="22" t="s">
        <v>268</v>
      </c>
      <c r="F24" s="23" t="s">
        <v>269</v>
      </c>
      <c r="G24" s="22" t="s">
        <v>236</v>
      </c>
      <c r="H24" s="22">
        <v>200</v>
      </c>
      <c r="I24" s="22" t="s">
        <v>13</v>
      </c>
      <c r="J24" s="22"/>
      <c r="K24" s="22" t="s">
        <v>148</v>
      </c>
      <c r="L24" s="22"/>
      <c r="M24" s="22"/>
      <c r="N24" s="2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 customHeight="1">
      <c r="A25" s="2"/>
      <c r="B25" s="49"/>
      <c r="C25" s="49"/>
      <c r="D25" s="22">
        <v>5</v>
      </c>
      <c r="E25" s="22" t="s">
        <v>270</v>
      </c>
      <c r="F25" s="23" t="s">
        <v>271</v>
      </c>
      <c r="G25" s="22" t="s">
        <v>236</v>
      </c>
      <c r="H25" s="22">
        <v>100</v>
      </c>
      <c r="I25" s="22" t="s">
        <v>13</v>
      </c>
      <c r="J25" s="22"/>
      <c r="K25" s="22" t="s">
        <v>148</v>
      </c>
      <c r="L25" s="22"/>
      <c r="M25" s="22"/>
      <c r="N25" s="2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" customHeight="1">
      <c r="A26" s="2"/>
      <c r="B26" s="49"/>
      <c r="C26" s="49"/>
      <c r="D26" s="22">
        <v>6</v>
      </c>
      <c r="E26" s="22" t="s">
        <v>193</v>
      </c>
      <c r="F26" s="23" t="s">
        <v>272</v>
      </c>
      <c r="G26" s="22" t="s">
        <v>245</v>
      </c>
      <c r="H26" s="22" t="s">
        <v>13</v>
      </c>
      <c r="I26" s="22" t="s">
        <v>13</v>
      </c>
      <c r="J26" s="22"/>
      <c r="K26" s="22" t="s">
        <v>148</v>
      </c>
      <c r="L26" s="22"/>
      <c r="M26" s="22"/>
      <c r="N26" s="2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</sheetData>
  <mergeCells count="11">
    <mergeCell ref="B13:B16"/>
    <mergeCell ref="C13:C16"/>
    <mergeCell ref="B17:B19"/>
    <mergeCell ref="C17:C19"/>
    <mergeCell ref="B21:B26"/>
    <mergeCell ref="C21:C26"/>
    <mergeCell ref="B2:N2"/>
    <mergeCell ref="B4:B8"/>
    <mergeCell ref="C4:C8"/>
    <mergeCell ref="B9:B12"/>
    <mergeCell ref="C9:C1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4"/>
  <sheetViews>
    <sheetView zoomScaleNormal="100" workbookViewId="0"/>
  </sheetViews>
  <sheetFormatPr defaultColWidth="8.7109375" defaultRowHeight="15"/>
  <cols>
    <col min="1" max="34" width="13" style="1" customWidth="1"/>
  </cols>
  <sheetData>
    <row r="1" spans="2:18" ht="16.5" customHeight="1"/>
    <row r="2" spans="2:18" ht="27.75" customHeight="1">
      <c r="B2" s="51" t="s">
        <v>273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24"/>
      <c r="R2" s="24"/>
    </row>
    <row r="3" spans="2:18" ht="16.5" customHeight="1"/>
    <row r="4" spans="2:18" ht="16.5" customHeight="1"/>
    <row r="5" spans="2:18" ht="16.5" customHeight="1"/>
    <row r="6" spans="2:18" ht="16.5" customHeight="1"/>
    <row r="7" spans="2:18" ht="16.5" customHeight="1"/>
    <row r="8" spans="2:18" ht="16.5" customHeight="1"/>
    <row r="9" spans="2:18" ht="16.5" customHeight="1"/>
    <row r="10" spans="2:18" ht="16.5" customHeight="1"/>
    <row r="11" spans="2:18" ht="16.5" customHeight="1"/>
    <row r="12" spans="2:18" ht="16.5" customHeight="1"/>
    <row r="13" spans="2:18" ht="16.5" customHeight="1"/>
    <row r="14" spans="2:18" ht="16.5" customHeight="1"/>
    <row r="15" spans="2:18" ht="16.5" customHeight="1"/>
    <row r="16" spans="2:18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</sheetData>
  <mergeCells count="1">
    <mergeCell ref="B2:P2"/>
  </mergeCells>
  <phoneticPr fontId="2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4"/>
  <sheetViews>
    <sheetView zoomScaleNormal="100" workbookViewId="0"/>
  </sheetViews>
  <sheetFormatPr defaultColWidth="8.7109375" defaultRowHeight="15"/>
  <cols>
    <col min="1" max="34" width="13" style="1" customWidth="1"/>
  </cols>
  <sheetData>
    <row r="1" spans="2:18" ht="16.5" customHeight="1"/>
    <row r="2" spans="2:18" ht="27.75" customHeight="1">
      <c r="B2" s="51" t="s">
        <v>274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24"/>
      <c r="R2" s="24"/>
    </row>
    <row r="3" spans="2:18" ht="16.5" customHeight="1"/>
    <row r="4" spans="2:18" ht="16.5" customHeight="1"/>
    <row r="5" spans="2:18" ht="16.5" customHeight="1"/>
    <row r="6" spans="2:18" ht="16.5" customHeight="1"/>
    <row r="7" spans="2:18" ht="16.5" customHeight="1"/>
    <row r="8" spans="2:18" ht="16.5" customHeight="1"/>
    <row r="9" spans="2:18" ht="16.5" customHeight="1"/>
    <row r="10" spans="2:18" ht="16.5" customHeight="1"/>
    <row r="11" spans="2:18" ht="16.5" customHeight="1"/>
    <row r="12" spans="2:18" ht="16.5" customHeight="1"/>
    <row r="13" spans="2:18" ht="16.5" customHeight="1"/>
    <row r="14" spans="2:18" ht="16.5" customHeight="1"/>
    <row r="15" spans="2:18" ht="16.5" customHeight="1"/>
    <row r="16" spans="2:18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</sheetData>
  <mergeCells count="1">
    <mergeCell ref="B2:P2"/>
  </mergeCells>
  <phoneticPr fontId="2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showGridLines="0" tabSelected="1" topLeftCell="A22" zoomScaleNormal="100" workbookViewId="0">
      <selection activeCell="A43" sqref="A43"/>
    </sheetView>
  </sheetViews>
  <sheetFormatPr defaultColWidth="8.7109375" defaultRowHeight="15"/>
  <cols>
    <col min="1" max="1" width="47" style="1" customWidth="1"/>
    <col min="2" max="2" width="9" style="1" customWidth="1"/>
    <col min="3" max="3" width="18" style="1" customWidth="1"/>
    <col min="4" max="5" width="12" style="1" customWidth="1"/>
    <col min="6" max="6" width="9" style="1" customWidth="1"/>
    <col min="7" max="7" width="10" style="1" customWidth="1"/>
  </cols>
  <sheetData>
    <row r="1" spans="1:20" ht="17.25" customHeight="1">
      <c r="A1" s="25" t="s">
        <v>275</v>
      </c>
      <c r="B1" s="25" t="s">
        <v>60</v>
      </c>
      <c r="C1" s="25" t="s">
        <v>276</v>
      </c>
      <c r="D1" s="25" t="s">
        <v>277</v>
      </c>
      <c r="E1" s="25" t="s">
        <v>278</v>
      </c>
      <c r="F1" s="25" t="s">
        <v>279</v>
      </c>
      <c r="G1" s="25" t="s">
        <v>280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>
      <c r="A2" s="26" t="s">
        <v>281</v>
      </c>
      <c r="B2" s="59" t="s">
        <v>327</v>
      </c>
      <c r="C2" s="28" t="str">
        <f t="shared" ref="C2:C45" si="0">IF(G2=0,"Not Started",IF(G2&lt;1,"In Progress",IF(G2=1,"Finished")))</f>
        <v>Finished</v>
      </c>
      <c r="D2" s="29">
        <v>45720</v>
      </c>
      <c r="E2" s="29">
        <v>45751</v>
      </c>
      <c r="F2" s="27">
        <f t="shared" ref="F2:F45" si="1">NETWORKDAYS(D2,E2)</f>
        <v>24</v>
      </c>
      <c r="G2" s="27">
        <f>AVERAGE(G3:G10)</f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" customHeight="1">
      <c r="A3" s="56" t="s">
        <v>282</v>
      </c>
      <c r="B3" s="61" t="s">
        <v>327</v>
      </c>
      <c r="C3" s="53" t="str">
        <f t="shared" si="0"/>
        <v>Finished</v>
      </c>
      <c r="D3" s="54">
        <v>45720</v>
      </c>
      <c r="E3" s="54">
        <v>45741</v>
      </c>
      <c r="F3" s="55">
        <f t="shared" si="1"/>
        <v>16</v>
      </c>
      <c r="G3" s="55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>
      <c r="A4" s="56" t="s">
        <v>283</v>
      </c>
      <c r="B4" s="61" t="s">
        <v>327</v>
      </c>
      <c r="C4" s="53" t="str">
        <f t="shared" si="0"/>
        <v>Finished</v>
      </c>
      <c r="D4" s="54">
        <v>45720</v>
      </c>
      <c r="E4" s="54">
        <v>45741</v>
      </c>
      <c r="F4" s="55">
        <f t="shared" si="1"/>
        <v>16</v>
      </c>
      <c r="G4" s="55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6.5" customHeight="1">
      <c r="A5" s="57" t="s">
        <v>284</v>
      </c>
      <c r="B5" s="61" t="s">
        <v>327</v>
      </c>
      <c r="C5" s="53" t="str">
        <f t="shared" si="0"/>
        <v>Finished</v>
      </c>
      <c r="D5" s="54">
        <v>45720</v>
      </c>
      <c r="E5" s="54">
        <v>45741</v>
      </c>
      <c r="F5" s="55">
        <f t="shared" si="1"/>
        <v>16</v>
      </c>
      <c r="G5" s="55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6.5" customHeight="1">
      <c r="A6" s="56" t="s">
        <v>285</v>
      </c>
      <c r="B6" s="61" t="s">
        <v>327</v>
      </c>
      <c r="C6" s="53" t="str">
        <f t="shared" si="0"/>
        <v>Finished</v>
      </c>
      <c r="D6" s="54">
        <v>45720</v>
      </c>
      <c r="E6" s="54">
        <v>45741</v>
      </c>
      <c r="F6" s="55">
        <f t="shared" si="1"/>
        <v>16</v>
      </c>
      <c r="G6" s="55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6.5" customHeight="1">
      <c r="A7" s="56" t="s">
        <v>286</v>
      </c>
      <c r="B7" s="61" t="s">
        <v>327</v>
      </c>
      <c r="C7" s="53" t="str">
        <f t="shared" si="0"/>
        <v>Finished</v>
      </c>
      <c r="D7" s="54">
        <v>45720</v>
      </c>
      <c r="E7" s="54">
        <v>45741</v>
      </c>
      <c r="F7" s="55">
        <f t="shared" si="1"/>
        <v>16</v>
      </c>
      <c r="G7" s="55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6.5" customHeight="1">
      <c r="A8" s="56" t="s">
        <v>287</v>
      </c>
      <c r="B8" s="61" t="s">
        <v>327</v>
      </c>
      <c r="C8" s="53" t="str">
        <f t="shared" si="0"/>
        <v>Finished</v>
      </c>
      <c r="D8" s="54">
        <v>45720</v>
      </c>
      <c r="E8" s="54">
        <v>45741</v>
      </c>
      <c r="F8" s="55">
        <f t="shared" si="1"/>
        <v>16</v>
      </c>
      <c r="G8" s="55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6.5" customHeight="1">
      <c r="A9" s="57" t="s">
        <v>288</v>
      </c>
      <c r="B9" s="61" t="s">
        <v>327</v>
      </c>
      <c r="C9" s="53" t="str">
        <f t="shared" si="0"/>
        <v>Finished</v>
      </c>
      <c r="D9" s="54">
        <v>45741</v>
      </c>
      <c r="E9" s="54">
        <v>45751</v>
      </c>
      <c r="F9" s="55">
        <f t="shared" si="1"/>
        <v>9</v>
      </c>
      <c r="G9" s="55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>
      <c r="A10" s="56" t="s">
        <v>289</v>
      </c>
      <c r="B10" s="61" t="s">
        <v>327</v>
      </c>
      <c r="C10" s="53" t="str">
        <f t="shared" si="0"/>
        <v>Finished</v>
      </c>
      <c r="D10" s="54">
        <v>45720</v>
      </c>
      <c r="E10" s="54">
        <v>45741</v>
      </c>
      <c r="F10" s="55">
        <f t="shared" si="1"/>
        <v>16</v>
      </c>
      <c r="G10" s="55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>
      <c r="A11" s="26" t="s">
        <v>290</v>
      </c>
      <c r="B11" s="59" t="s">
        <v>328</v>
      </c>
      <c r="C11" s="28" t="s">
        <v>323</v>
      </c>
      <c r="D11" s="29">
        <v>45741</v>
      </c>
      <c r="E11" s="29">
        <v>45751</v>
      </c>
      <c r="F11" s="27">
        <f t="shared" si="1"/>
        <v>9</v>
      </c>
      <c r="G11" s="27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6.5" customHeight="1">
      <c r="A12" s="57" t="s">
        <v>321</v>
      </c>
      <c r="B12" s="61" t="s">
        <v>327</v>
      </c>
      <c r="C12" s="53" t="s">
        <v>323</v>
      </c>
      <c r="D12" s="54">
        <v>45741</v>
      </c>
      <c r="E12" s="54">
        <v>45751</v>
      </c>
      <c r="F12" s="55">
        <f t="shared" si="1"/>
        <v>9</v>
      </c>
      <c r="G12" s="55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6.5" customHeight="1">
      <c r="A13" s="57" t="s">
        <v>291</v>
      </c>
      <c r="B13" s="61" t="s">
        <v>327</v>
      </c>
      <c r="C13" s="53" t="s">
        <v>323</v>
      </c>
      <c r="D13" s="54">
        <v>45741</v>
      </c>
      <c r="E13" s="54">
        <v>45751</v>
      </c>
      <c r="F13" s="55">
        <f t="shared" si="1"/>
        <v>9</v>
      </c>
      <c r="G13" s="55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6.5" customHeight="1">
      <c r="A14" s="57" t="s">
        <v>292</v>
      </c>
      <c r="B14" s="61" t="s">
        <v>327</v>
      </c>
      <c r="C14" s="53" t="s">
        <v>323</v>
      </c>
      <c r="D14" s="54">
        <v>45741</v>
      </c>
      <c r="E14" s="54">
        <v>45751</v>
      </c>
      <c r="F14" s="55">
        <f t="shared" si="1"/>
        <v>9</v>
      </c>
      <c r="G14" s="55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6.5" customHeight="1">
      <c r="A15" s="26" t="s">
        <v>293</v>
      </c>
      <c r="B15" s="59" t="s">
        <v>327</v>
      </c>
      <c r="C15" s="28" t="s">
        <v>324</v>
      </c>
      <c r="D15" s="29">
        <v>45752</v>
      </c>
      <c r="E15" s="29">
        <v>45814</v>
      </c>
      <c r="F15" s="27">
        <f t="shared" si="1"/>
        <v>45</v>
      </c>
      <c r="G15" s="27">
        <v>0.6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>
      <c r="A16" s="26" t="s">
        <v>294</v>
      </c>
      <c r="B16" s="59" t="s">
        <v>327</v>
      </c>
      <c r="C16" s="28" t="s">
        <v>324</v>
      </c>
      <c r="D16" s="29">
        <v>45752</v>
      </c>
      <c r="E16" s="29">
        <v>45765</v>
      </c>
      <c r="F16" s="27">
        <f t="shared" si="1"/>
        <v>10</v>
      </c>
      <c r="G16" s="27">
        <v>0.7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5" customHeight="1">
      <c r="A17" s="52" t="s">
        <v>322</v>
      </c>
      <c r="B17" s="61" t="s">
        <v>329</v>
      </c>
      <c r="C17" s="53" t="s">
        <v>323</v>
      </c>
      <c r="D17" s="54">
        <v>45752</v>
      </c>
      <c r="E17" s="54">
        <v>45765</v>
      </c>
      <c r="F17" s="55">
        <f t="shared" si="1"/>
        <v>10</v>
      </c>
      <c r="G17" s="55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>
      <c r="A18" s="56" t="s">
        <v>15</v>
      </c>
      <c r="B18" s="61" t="s">
        <v>327</v>
      </c>
      <c r="C18" s="53" t="s">
        <v>323</v>
      </c>
      <c r="D18" s="54">
        <v>45752</v>
      </c>
      <c r="E18" s="54">
        <v>45765</v>
      </c>
      <c r="F18" s="55">
        <f t="shared" si="1"/>
        <v>10</v>
      </c>
      <c r="G18" s="55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>
      <c r="A19" s="33" t="s">
        <v>17</v>
      </c>
      <c r="B19" s="60" t="s">
        <v>327</v>
      </c>
      <c r="C19" s="28" t="str">
        <f t="shared" si="0"/>
        <v>Not Started</v>
      </c>
      <c r="D19" s="30">
        <v>45752</v>
      </c>
      <c r="E19" s="30">
        <v>45765</v>
      </c>
      <c r="F19" s="7">
        <f t="shared" si="1"/>
        <v>10</v>
      </c>
      <c r="G19" s="7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" customHeight="1">
      <c r="A20" s="26" t="s">
        <v>295</v>
      </c>
      <c r="B20" s="59" t="s">
        <v>327</v>
      </c>
      <c r="C20" s="28" t="s">
        <v>324</v>
      </c>
      <c r="D20" s="29">
        <v>45768</v>
      </c>
      <c r="E20" s="29">
        <v>45786</v>
      </c>
      <c r="F20" s="27">
        <f t="shared" si="1"/>
        <v>15</v>
      </c>
      <c r="G20" s="27">
        <v>0.5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6.5" customHeight="1">
      <c r="A21" s="34" t="s">
        <v>296</v>
      </c>
      <c r="B21" s="60" t="s">
        <v>330</v>
      </c>
      <c r="C21" s="28" t="s">
        <v>324</v>
      </c>
      <c r="D21" s="30">
        <v>45768</v>
      </c>
      <c r="E21" s="30">
        <v>45786</v>
      </c>
      <c r="F21" s="7">
        <f t="shared" si="1"/>
        <v>15</v>
      </c>
      <c r="G21" s="7">
        <v>0.8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6.5" customHeight="1">
      <c r="A22" s="57" t="s">
        <v>332</v>
      </c>
      <c r="B22" s="61" t="s">
        <v>330</v>
      </c>
      <c r="C22" s="53" t="s">
        <v>333</v>
      </c>
      <c r="D22" s="54">
        <v>45768</v>
      </c>
      <c r="E22" s="54">
        <v>45786</v>
      </c>
      <c r="F22" s="55">
        <f t="shared" si="1"/>
        <v>15</v>
      </c>
      <c r="G22" s="55">
        <v>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6.5" customHeight="1">
      <c r="A23" s="33" t="s">
        <v>297</v>
      </c>
      <c r="B23" s="60" t="s">
        <v>330</v>
      </c>
      <c r="C23" s="28" t="str">
        <f t="shared" si="0"/>
        <v>Not Started</v>
      </c>
      <c r="D23" s="30">
        <v>45768</v>
      </c>
      <c r="E23" s="30">
        <v>45786</v>
      </c>
      <c r="F23" s="7">
        <f t="shared" si="1"/>
        <v>15</v>
      </c>
      <c r="G23" s="7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6.5" customHeight="1">
      <c r="A24" s="34" t="s">
        <v>298</v>
      </c>
      <c r="B24" s="60" t="s">
        <v>330</v>
      </c>
      <c r="C24" s="28" t="str">
        <f t="shared" si="0"/>
        <v>Not Started</v>
      </c>
      <c r="D24" s="30">
        <v>45768</v>
      </c>
      <c r="E24" s="30">
        <v>45786</v>
      </c>
      <c r="F24" s="7">
        <f t="shared" si="1"/>
        <v>15</v>
      </c>
      <c r="G24" s="7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6.5" customHeight="1">
      <c r="A25" s="57" t="s">
        <v>336</v>
      </c>
      <c r="B25" s="61" t="s">
        <v>327</v>
      </c>
      <c r="C25" s="53" t="s">
        <v>323</v>
      </c>
      <c r="D25" s="54">
        <v>45768</v>
      </c>
      <c r="E25" s="54">
        <v>45786</v>
      </c>
      <c r="F25" s="55">
        <f t="shared" ref="F25" si="2">NETWORKDAYS(D25,E25)</f>
        <v>15</v>
      </c>
      <c r="G25" s="55">
        <v>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6.5" customHeight="1">
      <c r="A26" s="57" t="s">
        <v>299</v>
      </c>
      <c r="B26" s="61" t="s">
        <v>327</v>
      </c>
      <c r="C26" s="53" t="s">
        <v>323</v>
      </c>
      <c r="D26" s="54">
        <v>45768</v>
      </c>
      <c r="E26" s="54">
        <v>45786</v>
      </c>
      <c r="F26" s="55">
        <f t="shared" si="1"/>
        <v>15</v>
      </c>
      <c r="G26" s="55">
        <v>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" customHeight="1">
      <c r="A27" s="26" t="s">
        <v>300</v>
      </c>
      <c r="B27" s="59" t="s">
        <v>328</v>
      </c>
      <c r="C27" s="28" t="s">
        <v>323</v>
      </c>
      <c r="D27" s="29">
        <v>45789</v>
      </c>
      <c r="E27" s="29">
        <v>45807</v>
      </c>
      <c r="F27" s="27">
        <f t="shared" si="1"/>
        <v>15</v>
      </c>
      <c r="G27" s="27">
        <v>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6.5" customHeight="1">
      <c r="A28" s="57" t="s">
        <v>301</v>
      </c>
      <c r="B28" s="61" t="s">
        <v>328</v>
      </c>
      <c r="C28" s="53" t="s">
        <v>323</v>
      </c>
      <c r="D28" s="54">
        <v>45789</v>
      </c>
      <c r="E28" s="54">
        <v>45807</v>
      </c>
      <c r="F28" s="55">
        <f t="shared" si="1"/>
        <v>15</v>
      </c>
      <c r="G28" s="55">
        <v>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6.5" customHeight="1">
      <c r="A29" s="56" t="s">
        <v>337</v>
      </c>
      <c r="B29" s="61" t="s">
        <v>328</v>
      </c>
      <c r="C29" s="53" t="s">
        <v>323</v>
      </c>
      <c r="D29" s="54">
        <v>45789</v>
      </c>
      <c r="E29" s="54">
        <v>45807</v>
      </c>
      <c r="F29" s="55">
        <f t="shared" ref="F29" si="3">NETWORKDAYS(D29,E29)</f>
        <v>15</v>
      </c>
      <c r="G29" s="55">
        <v>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6.5" customHeight="1">
      <c r="A30" s="56" t="s">
        <v>338</v>
      </c>
      <c r="B30" s="61" t="s">
        <v>328</v>
      </c>
      <c r="C30" s="53" t="s">
        <v>323</v>
      </c>
      <c r="D30" s="54">
        <v>45789</v>
      </c>
      <c r="E30" s="54">
        <v>45807</v>
      </c>
      <c r="F30" s="55">
        <f t="shared" ref="F30" si="4">NETWORKDAYS(D30,E30)</f>
        <v>15</v>
      </c>
      <c r="G30" s="55"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6.5" customHeight="1">
      <c r="A31" s="56" t="s">
        <v>339</v>
      </c>
      <c r="B31" s="61" t="s">
        <v>328</v>
      </c>
      <c r="C31" s="53" t="s">
        <v>323</v>
      </c>
      <c r="D31" s="54">
        <v>45789</v>
      </c>
      <c r="E31" s="54">
        <v>45807</v>
      </c>
      <c r="F31" s="55">
        <f t="shared" ref="F31" si="5">NETWORKDAYS(D31,E31)</f>
        <v>15</v>
      </c>
      <c r="G31" s="55">
        <v>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" customHeight="1">
      <c r="A32" s="56" t="s">
        <v>302</v>
      </c>
      <c r="B32" s="61" t="s">
        <v>328</v>
      </c>
      <c r="C32" s="53" t="s">
        <v>323</v>
      </c>
      <c r="D32" s="54">
        <v>45789</v>
      </c>
      <c r="E32" s="54">
        <v>45807</v>
      </c>
      <c r="F32" s="55">
        <f t="shared" si="1"/>
        <v>15</v>
      </c>
      <c r="G32" s="55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" customHeight="1">
      <c r="A33" s="56" t="s">
        <v>303</v>
      </c>
      <c r="B33" s="61" t="s">
        <v>328</v>
      </c>
      <c r="C33" s="53" t="s">
        <v>323</v>
      </c>
      <c r="D33" s="54">
        <v>45789</v>
      </c>
      <c r="E33" s="54">
        <v>45807</v>
      </c>
      <c r="F33" s="55">
        <f t="shared" si="1"/>
        <v>15</v>
      </c>
      <c r="G33" s="55"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" customHeight="1">
      <c r="A34" s="57" t="s">
        <v>304</v>
      </c>
      <c r="B34" s="61" t="s">
        <v>328</v>
      </c>
      <c r="C34" s="53" t="s">
        <v>323</v>
      </c>
      <c r="D34" s="54">
        <v>45789</v>
      </c>
      <c r="E34" s="54">
        <v>45793</v>
      </c>
      <c r="F34" s="55">
        <f t="shared" si="1"/>
        <v>5</v>
      </c>
      <c r="G34" s="55">
        <v>1</v>
      </c>
    </row>
    <row r="35" spans="1:20" ht="15" customHeight="1">
      <c r="A35" s="57" t="s">
        <v>334</v>
      </c>
      <c r="B35" s="61" t="s">
        <v>328</v>
      </c>
      <c r="C35" s="53" t="s">
        <v>323</v>
      </c>
      <c r="D35" s="54">
        <v>45789</v>
      </c>
      <c r="E35" s="54">
        <v>45793</v>
      </c>
      <c r="F35" s="55">
        <f t="shared" si="1"/>
        <v>5</v>
      </c>
      <c r="G35" s="55">
        <v>1</v>
      </c>
    </row>
    <row r="36" spans="1:20" ht="15" customHeight="1">
      <c r="A36" s="57" t="s">
        <v>326</v>
      </c>
      <c r="B36" s="61" t="s">
        <v>328</v>
      </c>
      <c r="C36" s="53" t="s">
        <v>323</v>
      </c>
      <c r="D36" s="54">
        <v>45796</v>
      </c>
      <c r="E36" s="54">
        <v>45800</v>
      </c>
      <c r="F36" s="55">
        <f t="shared" si="1"/>
        <v>5</v>
      </c>
      <c r="G36" s="55">
        <v>1</v>
      </c>
    </row>
    <row r="37" spans="1:20" ht="15" customHeight="1">
      <c r="A37" s="57" t="s">
        <v>335</v>
      </c>
      <c r="B37" s="61" t="s">
        <v>328</v>
      </c>
      <c r="C37" s="53" t="s">
        <v>323</v>
      </c>
      <c r="D37" s="54">
        <v>45796</v>
      </c>
      <c r="E37" s="54">
        <v>45800</v>
      </c>
      <c r="F37" s="55">
        <f t="shared" si="1"/>
        <v>5</v>
      </c>
      <c r="G37" s="55">
        <v>1</v>
      </c>
    </row>
    <row r="38" spans="1:20" ht="15" customHeight="1">
      <c r="A38" s="31" t="s">
        <v>305</v>
      </c>
      <c r="B38" s="59" t="s">
        <v>331</v>
      </c>
      <c r="C38" s="28" t="s">
        <v>323</v>
      </c>
      <c r="D38" s="29">
        <v>45803</v>
      </c>
      <c r="E38" s="29">
        <v>45814</v>
      </c>
      <c r="F38" s="32">
        <f t="shared" si="1"/>
        <v>10</v>
      </c>
      <c r="G38" s="32">
        <v>1</v>
      </c>
    </row>
    <row r="39" spans="1:20" ht="15" customHeight="1">
      <c r="A39" s="57" t="s">
        <v>306</v>
      </c>
      <c r="B39" s="61" t="s">
        <v>327</v>
      </c>
      <c r="C39" s="53" t="s">
        <v>323</v>
      </c>
      <c r="D39" s="54">
        <v>45803</v>
      </c>
      <c r="E39" s="54">
        <v>45807</v>
      </c>
      <c r="F39" s="55">
        <f t="shared" si="1"/>
        <v>5</v>
      </c>
      <c r="G39" s="55">
        <v>1</v>
      </c>
    </row>
    <row r="40" spans="1:20" ht="15" customHeight="1">
      <c r="A40" s="57" t="s">
        <v>307</v>
      </c>
      <c r="B40" s="61" t="s">
        <v>327</v>
      </c>
      <c r="C40" s="53" t="s">
        <v>323</v>
      </c>
      <c r="D40" s="54">
        <v>45810</v>
      </c>
      <c r="E40" s="54">
        <v>45814</v>
      </c>
      <c r="F40" s="55">
        <f t="shared" si="1"/>
        <v>5</v>
      </c>
      <c r="G40" s="55">
        <v>1</v>
      </c>
    </row>
    <row r="41" spans="1:20" ht="15" customHeight="1">
      <c r="A41" s="58" t="s">
        <v>308</v>
      </c>
      <c r="B41" s="61" t="s">
        <v>327</v>
      </c>
      <c r="C41" s="53" t="s">
        <v>323</v>
      </c>
      <c r="D41" s="54">
        <v>45810</v>
      </c>
      <c r="E41" s="54">
        <v>45814</v>
      </c>
      <c r="F41" s="55">
        <f t="shared" si="1"/>
        <v>5</v>
      </c>
      <c r="G41" s="55">
        <v>1</v>
      </c>
    </row>
    <row r="42" spans="1:20" ht="15" customHeight="1">
      <c r="A42" s="31" t="s">
        <v>309</v>
      </c>
      <c r="B42" s="59" t="s">
        <v>327</v>
      </c>
      <c r="C42" s="28" t="str">
        <f t="shared" si="0"/>
        <v>Not Started</v>
      </c>
      <c r="D42" s="29">
        <v>45810</v>
      </c>
      <c r="E42" s="29">
        <v>45821</v>
      </c>
      <c r="F42" s="32">
        <f t="shared" si="1"/>
        <v>10</v>
      </c>
      <c r="G42" s="32">
        <f>AVERAGE(G43:G45)</f>
        <v>0</v>
      </c>
    </row>
    <row r="43" spans="1:20" ht="15" customHeight="1">
      <c r="A43" s="34" t="s">
        <v>310</v>
      </c>
      <c r="B43" s="60" t="s">
        <v>327</v>
      </c>
      <c r="C43" s="28" t="str">
        <f t="shared" si="0"/>
        <v>Not Started</v>
      </c>
      <c r="D43" s="30">
        <v>45810</v>
      </c>
      <c r="E43" s="30">
        <v>45814</v>
      </c>
      <c r="F43" s="7">
        <f t="shared" si="1"/>
        <v>5</v>
      </c>
      <c r="G43" s="7">
        <v>0</v>
      </c>
    </row>
    <row r="44" spans="1:20" ht="15" customHeight="1">
      <c r="A44" s="34" t="s">
        <v>311</v>
      </c>
      <c r="B44" s="60" t="s">
        <v>327</v>
      </c>
      <c r="C44" s="28" t="str">
        <f t="shared" si="0"/>
        <v>Not Started</v>
      </c>
      <c r="D44" s="30">
        <v>45817</v>
      </c>
      <c r="E44" s="30">
        <v>45821</v>
      </c>
      <c r="F44" s="7">
        <f t="shared" si="1"/>
        <v>5</v>
      </c>
      <c r="G44" s="7">
        <v>0</v>
      </c>
    </row>
    <row r="45" spans="1:20" ht="15" customHeight="1">
      <c r="A45" s="34" t="s">
        <v>312</v>
      </c>
      <c r="B45" s="60" t="s">
        <v>327</v>
      </c>
      <c r="C45" s="28" t="str">
        <f t="shared" si="0"/>
        <v>Not Started</v>
      </c>
      <c r="D45" s="30">
        <v>45817</v>
      </c>
      <c r="E45" s="30">
        <v>45821</v>
      </c>
      <c r="F45" s="7">
        <f t="shared" si="1"/>
        <v>5</v>
      </c>
      <c r="G45" s="7">
        <v>0</v>
      </c>
    </row>
    <row r="46" spans="1:20" ht="15" customHeight="1">
      <c r="A46" s="26" t="s">
        <v>50</v>
      </c>
      <c r="B46" s="59" t="s">
        <v>327</v>
      </c>
      <c r="C46" s="28" t="s">
        <v>325</v>
      </c>
      <c r="D46" s="29">
        <v>45810</v>
      </c>
      <c r="E46" s="29">
        <v>45814</v>
      </c>
      <c r="F46" s="27">
        <f>NETWORKDAYS(D34,E34)</f>
        <v>5</v>
      </c>
      <c r="G46" s="27"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>
      <c r="A47" s="33" t="s">
        <v>313</v>
      </c>
      <c r="B47" s="60" t="s">
        <v>327</v>
      </c>
      <c r="C47" s="28" t="s">
        <v>325</v>
      </c>
      <c r="D47" s="30">
        <v>45810</v>
      </c>
      <c r="E47" s="30">
        <v>45814</v>
      </c>
      <c r="F47" s="7">
        <f>NETWORKDAYS(D35,E35)</f>
        <v>5</v>
      </c>
      <c r="G47" s="7"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>
      <c r="A48" s="33" t="s">
        <v>314</v>
      </c>
      <c r="B48" s="60" t="s">
        <v>327</v>
      </c>
      <c r="C48" s="28" t="s">
        <v>325</v>
      </c>
      <c r="D48" s="30">
        <v>45810</v>
      </c>
      <c r="E48" s="30">
        <v>45814</v>
      </c>
      <c r="F48" s="7">
        <f>NETWORKDAYS(D36,E36)</f>
        <v>5</v>
      </c>
      <c r="G48" s="7"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>
      <c r="A49" s="33" t="s">
        <v>315</v>
      </c>
      <c r="B49" s="60" t="s">
        <v>327</v>
      </c>
      <c r="C49" s="28" t="s">
        <v>325</v>
      </c>
      <c r="D49" s="30">
        <v>45810</v>
      </c>
      <c r="E49" s="30">
        <v>45814</v>
      </c>
      <c r="F49" s="7">
        <f>NETWORKDAYS(D37,E37)</f>
        <v>5</v>
      </c>
      <c r="G49" s="7"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>
      <c r="A50" s="35" t="s">
        <v>316</v>
      </c>
      <c r="B50" s="60" t="s">
        <v>327</v>
      </c>
      <c r="C50" s="28" t="s">
        <v>325</v>
      </c>
      <c r="D50" s="30">
        <v>45810</v>
      </c>
      <c r="E50" s="30">
        <v>45814</v>
      </c>
      <c r="F50" s="7">
        <f>NETWORKDAYS(D50,E50)</f>
        <v>5</v>
      </c>
      <c r="G50" s="7">
        <v>0</v>
      </c>
    </row>
    <row r="51" spans="1:20" ht="15" customHeight="1">
      <c r="A51" s="35" t="s">
        <v>317</v>
      </c>
      <c r="B51" s="60" t="s">
        <v>327</v>
      </c>
      <c r="C51" s="28" t="s">
        <v>325</v>
      </c>
      <c r="D51" s="30">
        <v>45810</v>
      </c>
      <c r="E51" s="30">
        <v>45814</v>
      </c>
      <c r="F51" s="7">
        <f>NETWORKDAYS(D51,E51)</f>
        <v>5</v>
      </c>
      <c r="G51" s="7">
        <v>0</v>
      </c>
    </row>
    <row r="52" spans="1:20" ht="15" customHeight="1">
      <c r="A52" s="26" t="s">
        <v>318</v>
      </c>
      <c r="B52" s="59" t="s">
        <v>329</v>
      </c>
      <c r="C52" s="28" t="s">
        <v>325</v>
      </c>
      <c r="D52" s="29">
        <v>45817</v>
      </c>
      <c r="E52" s="29">
        <v>45819</v>
      </c>
      <c r="F52" s="27" t="e">
        <f>NETWORKDAYS(#REF!,#REF!)</f>
        <v>#REF!</v>
      </c>
      <c r="G52" s="27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>
      <c r="A53" s="26" t="s">
        <v>319</v>
      </c>
      <c r="B53" s="59" t="s">
        <v>327</v>
      </c>
      <c r="C53" s="28" t="s">
        <v>325</v>
      </c>
      <c r="D53" s="29">
        <v>45817</v>
      </c>
      <c r="E53" s="29">
        <v>45819</v>
      </c>
      <c r="F53" s="27">
        <v>5</v>
      </c>
      <c r="G53" s="27"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>
      <c r="A54" s="26" t="s">
        <v>320</v>
      </c>
      <c r="B54" s="59" t="s">
        <v>327</v>
      </c>
      <c r="C54" s="28" t="s">
        <v>325</v>
      </c>
      <c r="D54" s="29">
        <v>45817</v>
      </c>
      <c r="E54" s="29">
        <v>45819</v>
      </c>
      <c r="F54" s="27">
        <f>NETWORKDAYS(D39,E39)</f>
        <v>5</v>
      </c>
      <c r="G54" s="27"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</sheetData>
  <phoneticPr fontId="24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메뉴구조도</vt:lpstr>
      <vt:lpstr>프로그램 명세서</vt:lpstr>
      <vt:lpstr>컬렉션 정의서(NoSQL)</vt:lpstr>
      <vt:lpstr>테이블 명세서(RDBMS)</vt:lpstr>
      <vt:lpstr>논리 데이터 모델링(ERD)</vt:lpstr>
      <vt:lpstr>물리 데이터 모델링(ERD)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8316-04</cp:lastModifiedBy>
  <cp:revision>0</cp:revision>
  <dcterms:created xsi:type="dcterms:W3CDTF">2026-03-23T14:24:18Z</dcterms:created>
  <dcterms:modified xsi:type="dcterms:W3CDTF">2026-05-28T05:56:20Z</dcterms:modified>
  <dc:language>en-US</dc:language>
</cp:coreProperties>
</file>